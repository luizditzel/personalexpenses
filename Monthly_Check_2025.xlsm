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pivotTables/pivotTable4.xml" ContentType="application/vnd.openxmlformats-officedocument.spreadsheetml.pivotTable+xml"/>
  <Override PartName="/xl/tables/table5.xml" ContentType="application/vnd.openxmlformats-officedocument.spreadsheetml.table+xml"/>
  <Override PartName="/xl/pivotTables/pivotTable5.xml" ContentType="application/vnd.openxmlformats-officedocument.spreadsheetml.pivotTable+xml"/>
  <Override PartName="/xl/tables/table6.xml" ContentType="application/vnd.openxmlformats-officedocument.spreadsheetml.table+xml"/>
  <Override PartName="/xl/pivotTables/pivotTable6.xml" ContentType="application/vnd.openxmlformats-officedocument.spreadsheetml.pivotTable+xml"/>
  <Override PartName="/xl/tables/table7.xml" ContentType="application/vnd.openxmlformats-officedocument.spreadsheetml.table+xml"/>
  <Override PartName="/xl/pivotTables/pivotTable7.xml" ContentType="application/vnd.openxmlformats-officedocument.spreadsheetml.pivotTable+xml"/>
  <Override PartName="/xl/tables/table8.xml" ContentType="application/vnd.openxmlformats-officedocument.spreadsheetml.table+xml"/>
  <Override PartName="/xl/pivotTables/pivotTable8.xml" ContentType="application/vnd.openxmlformats-officedocument.spreadsheetml.pivotTable+xml"/>
  <Override PartName="/xl/tables/table9.xml" ContentType="application/vnd.openxmlformats-officedocument.spreadsheetml.table+xml"/>
  <Override PartName="/xl/pivotTables/pivotTable9.xml" ContentType="application/vnd.openxmlformats-officedocument.spreadsheetml.pivotTable+xml"/>
  <Override PartName="/xl/tables/table10.xml" ContentType="application/vnd.openxmlformats-officedocument.spreadsheetml.table+xml"/>
  <Override PartName="/xl/pivotTables/pivotTable10.xml" ContentType="application/vnd.openxmlformats-officedocument.spreadsheetml.pivotTable+xml"/>
  <Override PartName="/xl/tables/table11.xml" ContentType="application/vnd.openxmlformats-officedocument.spreadsheetml.table+xml"/>
  <Override PartName="/xl/pivotTables/pivotTable11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My Drive\Documentos_Zuzus\Controle de gastos\2025\"/>
    </mc:Choice>
  </mc:AlternateContent>
  <xr:revisionPtr revIDLastSave="0" documentId="13_ncr:1_{3AFCA2C9-9ADC-434C-BC1F-5BC43ECA8312}" xr6:coauthVersionLast="47" xr6:coauthVersionMax="47" xr10:uidLastSave="{00000000-0000-0000-0000-000000000000}"/>
  <bookViews>
    <workbookView xWindow="28680" yWindow="-120" windowWidth="29040" windowHeight="15990" activeTab="5" xr2:uid="{00000000-000D-0000-FFFF-FFFF00000000}"/>
  </bookViews>
  <sheets>
    <sheet name="Input" sheetId="10" r:id="rId1"/>
    <sheet name="Resumo" sheetId="16" r:id="rId2"/>
    <sheet name="01_2025" sheetId="1" r:id="rId3"/>
    <sheet name="02_2025" sheetId="4" r:id="rId4"/>
    <sheet name="03_2025" sheetId="5" r:id="rId5"/>
    <sheet name="04_2025" sheetId="6" r:id="rId6"/>
    <sheet name="05_2025" sheetId="7" r:id="rId7"/>
    <sheet name="06_2025" sheetId="8" r:id="rId8"/>
    <sheet name="07_2025" sheetId="9" r:id="rId9"/>
    <sheet name="08_2025" sheetId="11" r:id="rId10"/>
    <sheet name="09_2025" sheetId="12" r:id="rId11"/>
    <sheet name="10_2025" sheetId="13" r:id="rId12"/>
    <sheet name="11_2025" sheetId="14" r:id="rId13"/>
    <sheet name="12_2025" sheetId="15" r:id="rId14"/>
    <sheet name="Lists" sheetId="2" r:id="rId15"/>
    <sheet name="Sheet1" sheetId="17" r:id="rId16"/>
  </sheets>
  <calcPr calcId="191029"/>
  <pivotCaches>
    <pivotCache cacheId="0" r:id="rId17"/>
    <pivotCache cacheId="1" r:id="rId18"/>
    <pivotCache cacheId="2" r:id="rId19"/>
    <pivotCache cacheId="3" r:id="rId20"/>
    <pivotCache cacheId="4" r:id="rId21"/>
    <pivotCache cacheId="5" r:id="rId22"/>
    <pivotCache cacheId="6" r:id="rId23"/>
    <pivotCache cacheId="7" r:id="rId24"/>
    <pivotCache cacheId="8" r:id="rId25"/>
    <pivotCache cacheId="9" r:id="rId26"/>
    <pivotCache cacheId="10" r:id="rId2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8" roundtripDataChecksum="luxVNnvvL+B8sb0SZgYQp+oXbDAcBMLLrGTBUdPRtPk="/>
    </ext>
  </extLst>
</workbook>
</file>

<file path=xl/calcChain.xml><?xml version="1.0" encoding="utf-8"?>
<calcChain xmlns="http://schemas.openxmlformats.org/spreadsheetml/2006/main">
  <c r="B1" i="9" l="1"/>
  <c r="B1" i="12"/>
  <c r="B1" i="11"/>
  <c r="B868" i="17"/>
  <c r="B866" i="17"/>
  <c r="B862" i="17"/>
  <c r="B702" i="17"/>
  <c r="B701" i="17"/>
  <c r="B698" i="17"/>
  <c r="B697" i="17"/>
  <c r="B696" i="17"/>
  <c r="B695" i="17"/>
  <c r="B694" i="17"/>
  <c r="B689" i="17"/>
  <c r="B525" i="17"/>
  <c r="B524" i="17"/>
  <c r="B521" i="17"/>
  <c r="B520" i="17"/>
  <c r="B519" i="17"/>
  <c r="B518" i="17"/>
  <c r="B517" i="17"/>
  <c r="B511" i="17"/>
  <c r="B417" i="17"/>
  <c r="B416" i="17"/>
  <c r="B413" i="17"/>
  <c r="B412" i="17"/>
  <c r="B411" i="17"/>
  <c r="B410" i="17"/>
  <c r="B409" i="17"/>
  <c r="B408" i="17"/>
  <c r="B400" i="17"/>
  <c r="B283" i="17"/>
  <c r="B282" i="17"/>
  <c r="B281" i="17"/>
  <c r="B277" i="17"/>
  <c r="B276" i="17"/>
  <c r="B275" i="17"/>
  <c r="B274" i="17"/>
  <c r="B273" i="17"/>
  <c r="B272" i="17"/>
  <c r="B271" i="17"/>
  <c r="B268" i="17"/>
  <c r="B255" i="17"/>
  <c r="B230" i="17"/>
  <c r="B229" i="17"/>
  <c r="B227" i="17"/>
  <c r="B226" i="17"/>
  <c r="B225" i="17"/>
  <c r="B222" i="17"/>
  <c r="B221" i="17"/>
  <c r="B207" i="17"/>
  <c r="B203" i="17"/>
  <c r="B180" i="17"/>
  <c r="B179" i="17"/>
  <c r="B159" i="17"/>
  <c r="B154" i="17"/>
  <c r="B142" i="17"/>
  <c r="B141" i="17"/>
  <c r="B123" i="17"/>
  <c r="B104" i="17"/>
  <c r="B96" i="17"/>
  <c r="B45" i="17"/>
  <c r="B39" i="17"/>
  <c r="B24" i="17"/>
  <c r="B22" i="17"/>
  <c r="B16" i="17"/>
  <c r="B13" i="17"/>
  <c r="B10" i="17"/>
  <c r="B9" i="17"/>
  <c r="B1" i="15"/>
  <c r="B1" i="14"/>
  <c r="B1" i="7"/>
  <c r="B1" i="6" l="1"/>
  <c r="B1" i="5" l="1"/>
  <c r="B25" i="15" l="1"/>
  <c r="B23" i="15"/>
  <c r="B25" i="14"/>
  <c r="B23" i="14"/>
  <c r="B26" i="13"/>
  <c r="B23" i="13"/>
  <c r="B1" i="13" s="1"/>
  <c r="B27" i="12"/>
  <c r="B24" i="12"/>
  <c r="B28" i="11"/>
  <c r="B24" i="11"/>
  <c r="L25" i="4"/>
  <c r="K25" i="4"/>
  <c r="K24" i="4"/>
  <c r="K27" i="4" s="1"/>
  <c r="B24" i="6"/>
  <c r="B32" i="6"/>
  <c r="B33" i="6"/>
  <c r="B34" i="6"/>
  <c r="B35" i="6"/>
  <c r="B36" i="6"/>
  <c r="B37" i="6"/>
  <c r="B40" i="6"/>
  <c r="B41" i="6"/>
  <c r="B96" i="4"/>
  <c r="B29" i="9" l="1"/>
  <c r="B27" i="9"/>
  <c r="B23" i="9"/>
  <c r="B33" i="8" l="1"/>
  <c r="B32" i="8"/>
  <c r="B29" i="8"/>
  <c r="B28" i="8"/>
  <c r="B27" i="8"/>
  <c r="B26" i="8"/>
  <c r="B25" i="8"/>
  <c r="B20" i="8"/>
  <c r="B1" i="8" s="1"/>
  <c r="B19" i="7"/>
  <c r="B18" i="7"/>
  <c r="B15" i="7"/>
  <c r="B14" i="7"/>
  <c r="B13" i="7"/>
  <c r="B12" i="7"/>
  <c r="B11" i="7"/>
  <c r="B5" i="7"/>
  <c r="B52" i="5"/>
  <c r="B51" i="5"/>
  <c r="B50" i="5"/>
  <c r="B46" i="5"/>
  <c r="B45" i="5"/>
  <c r="B44" i="5"/>
  <c r="B43" i="5"/>
  <c r="B42" i="5"/>
  <c r="B41" i="5"/>
  <c r="B40" i="5"/>
  <c r="B37" i="5"/>
  <c r="B24" i="5"/>
  <c r="B119" i="4"/>
  <c r="B118" i="4"/>
  <c r="B116" i="4"/>
  <c r="B115" i="4"/>
  <c r="B114" i="4"/>
  <c r="B111" i="4"/>
  <c r="B110" i="4"/>
  <c r="B92" i="4"/>
  <c r="B69" i="4"/>
  <c r="B68" i="4"/>
  <c r="B48" i="4"/>
  <c r="B43" i="4"/>
  <c r="B31" i="4"/>
  <c r="B30" i="4"/>
  <c r="B12" i="4"/>
  <c r="B1" i="4" s="1"/>
  <c r="B12" i="1"/>
  <c r="B13" i="1"/>
  <c r="B107" i="1"/>
  <c r="B99" i="1"/>
  <c r="B48" i="1"/>
  <c r="B42" i="1"/>
  <c r="B27" i="1"/>
  <c r="B25" i="1"/>
  <c r="B19" i="1"/>
  <c r="B16" i="1"/>
  <c r="B1" i="1"/>
</calcChain>
</file>

<file path=xl/sharedStrings.xml><?xml version="1.0" encoding="utf-8"?>
<sst xmlns="http://schemas.openxmlformats.org/spreadsheetml/2006/main" count="10248" uniqueCount="743">
  <si>
    <t>CURRENT BALANCE</t>
  </si>
  <si>
    <t>Title</t>
  </si>
  <si>
    <t>Amount</t>
  </si>
  <si>
    <t>Transaction</t>
  </si>
  <si>
    <t>Category</t>
  </si>
  <si>
    <t>Paid by</t>
  </si>
  <si>
    <t>Date</t>
  </si>
  <si>
    <t>Livros Bebel</t>
  </si>
  <si>
    <t>Expense</t>
  </si>
  <si>
    <t>Amazon - fraldas e hidratante (1/2)</t>
  </si>
  <si>
    <t>Agorasoumae (1/6)</t>
  </si>
  <si>
    <t>Shopping</t>
  </si>
  <si>
    <t>Luiz</t>
  </si>
  <si>
    <t>Farmacia</t>
  </si>
  <si>
    <t>Healthcare</t>
  </si>
  <si>
    <t>Oba</t>
  </si>
  <si>
    <t>Groceries</t>
  </si>
  <si>
    <t>Maria</t>
  </si>
  <si>
    <t xml:space="preserve">Food to save </t>
  </si>
  <si>
    <t>dio - assinatura (1/12)</t>
  </si>
  <si>
    <t>Assinaturas</t>
  </si>
  <si>
    <t>Algodões Bebel (1/6)</t>
  </si>
  <si>
    <t>Baby</t>
  </si>
  <si>
    <t>Sondas</t>
  </si>
  <si>
    <t>Farmacia - Remedio bebel</t>
  </si>
  <si>
    <t>Sobrancelha</t>
  </si>
  <si>
    <t>Beauty</t>
  </si>
  <si>
    <t>Farmacia (hipoglos, fralda) (1/3)</t>
  </si>
  <si>
    <t>Mundo verde</t>
  </si>
  <si>
    <t>Balança pediatrica</t>
  </si>
  <si>
    <t xml:space="preserve">Uber </t>
  </si>
  <si>
    <t>Transport</t>
  </si>
  <si>
    <t xml:space="preserve">Farmácia - Hipoglos </t>
  </si>
  <si>
    <t xml:space="preserve">Kindle unlimited </t>
  </si>
  <si>
    <t>Mundo verde (1/3)</t>
  </si>
  <si>
    <t>Bolo bosch</t>
  </si>
  <si>
    <t>Restaurants &amp; Bars</t>
  </si>
  <si>
    <t>Fraldas amazon</t>
  </si>
  <si>
    <t>Suplementos amamentacao (1/3)</t>
  </si>
  <si>
    <t>Uber bosch</t>
  </si>
  <si>
    <t>Cupcakes bebel</t>
  </si>
  <si>
    <t>Farmacia - Luftal</t>
  </si>
  <si>
    <t>Sling/babador (1/2)</t>
  </si>
  <si>
    <t>Gasolina</t>
  </si>
  <si>
    <t>Amazon - bepantol (1/2)</t>
  </si>
  <si>
    <t>Alo bebe - fraldas</t>
  </si>
  <si>
    <t>Alo bebe - ofuro</t>
  </si>
  <si>
    <t>Farmacia - Dersani baby</t>
  </si>
  <si>
    <t>Leiturinha (1/12)</t>
  </si>
  <si>
    <t>Farmacia kegel</t>
  </si>
  <si>
    <t xml:space="preserve">Farmácia bebel </t>
  </si>
  <si>
    <t xml:space="preserve">Cópia documentos </t>
  </si>
  <si>
    <t xml:space="preserve">Presente Claudia </t>
  </si>
  <si>
    <t>Farmácia fórmula (1/3)</t>
  </si>
  <si>
    <t>Mundo verde (1/4)</t>
  </si>
  <si>
    <t xml:space="preserve">Mosquiteiro berço </t>
  </si>
  <si>
    <t>Comidas zero latte (1/3)</t>
  </si>
  <si>
    <t>Curso sono bebê</t>
  </si>
  <si>
    <t>Curso amamentação</t>
  </si>
  <si>
    <t xml:space="preserve">Copinhos leite </t>
  </si>
  <si>
    <t>RX RUN</t>
  </si>
  <si>
    <t>Fitness</t>
  </si>
  <si>
    <t>Dizimo</t>
  </si>
  <si>
    <t>Donations</t>
  </si>
  <si>
    <t>Gympass</t>
  </si>
  <si>
    <t>Bluefit</t>
  </si>
  <si>
    <t>Arautos</t>
  </si>
  <si>
    <t>Luz (prov)</t>
  </si>
  <si>
    <t>Rent &amp; Charges</t>
  </si>
  <si>
    <t>Caixinha ap</t>
  </si>
  <si>
    <t>Apartamento</t>
  </si>
  <si>
    <t>Adiantamento Mck</t>
  </si>
  <si>
    <t>Income</t>
  </si>
  <si>
    <t>Incomes</t>
  </si>
  <si>
    <t>Adiantamento Bosch</t>
  </si>
  <si>
    <t>Holy Family</t>
  </si>
  <si>
    <t>Opus Dei</t>
  </si>
  <si>
    <t>Apple icloud</t>
  </si>
  <si>
    <t>Gazeta do povo</t>
  </si>
  <si>
    <t>Aluguel</t>
  </si>
  <si>
    <t>Condominio</t>
  </si>
  <si>
    <t>Internet</t>
  </si>
  <si>
    <t>Gas</t>
  </si>
  <si>
    <t>Salario Bosch</t>
  </si>
  <si>
    <t>Salario Mck</t>
  </si>
  <si>
    <t>Lumine</t>
  </si>
  <si>
    <t>Farmácia - Clexane (3/3)</t>
  </si>
  <si>
    <t>Farmacia - cosmeticos (3/3)</t>
  </si>
  <si>
    <t xml:space="preserve">Farmácia - Clexane (3/3) </t>
  </si>
  <si>
    <t>Roupinha Natal (3/3)</t>
  </si>
  <si>
    <t>Amazon (3/3)</t>
  </si>
  <si>
    <t>Algodões Bebel (3/3)</t>
  </si>
  <si>
    <t xml:space="preserve">Amazon itens Bebel (3/3) </t>
  </si>
  <si>
    <t>Swift carnes (3/3)</t>
  </si>
  <si>
    <t>Farmácia (2/3)</t>
  </si>
  <si>
    <t>Wine (2/12)</t>
  </si>
  <si>
    <t>Body padrinhos (2/2)</t>
  </si>
  <si>
    <t>Tapete mesversario (2/5)</t>
  </si>
  <si>
    <t>Farmácia - fraldas (2/3)</t>
  </si>
  <si>
    <t>Farmácia - remédio Bebel (2/3)</t>
  </si>
  <si>
    <t>Esterilizador (2/2)</t>
  </si>
  <si>
    <t>Curso Bebê Dorminhoco (2/12)</t>
  </si>
  <si>
    <t>Alô bebê (2/2)</t>
  </si>
  <si>
    <t>Arvore de natal (2/2)</t>
  </si>
  <si>
    <t>Amazon (2/2)</t>
  </si>
  <si>
    <t>Roupas Agorasoumae (2/6)</t>
  </si>
  <si>
    <t>Farmacia - Raia (1/3)</t>
  </si>
  <si>
    <t>Seguro Carro (2/10)</t>
  </si>
  <si>
    <t>Carro</t>
  </si>
  <si>
    <t>Relógio Maria (2/8)</t>
  </si>
  <si>
    <t>Farmacia - Cha (1/3)</t>
  </si>
  <si>
    <t>Mercado livre</t>
  </si>
  <si>
    <t>Esterilizador bebel (1/6)</t>
  </si>
  <si>
    <t>Sondas e seringas</t>
  </si>
  <si>
    <t>Casa</t>
  </si>
  <si>
    <t>Cursos</t>
  </si>
  <si>
    <t>Entertainment</t>
  </si>
  <si>
    <t>Other</t>
  </si>
  <si>
    <t>Viagem</t>
  </si>
  <si>
    <t>Savings</t>
  </si>
  <si>
    <t>Uber</t>
  </si>
  <si>
    <t>Ferias Bosch</t>
  </si>
  <si>
    <t>Suplementos manipulados (1/4)</t>
  </si>
  <si>
    <t xml:space="preserve">Livro Kindle </t>
  </si>
  <si>
    <t>Luvas e toalhas</t>
  </si>
  <si>
    <t>Flores</t>
  </si>
  <si>
    <t>Farmacia (formula, colic calm) (1/3)</t>
  </si>
  <si>
    <t>Doacao N Sra de Belem</t>
  </si>
  <si>
    <t>Doacao Igreja</t>
  </si>
  <si>
    <t>Row Labels</t>
  </si>
  <si>
    <t>Grand Total</t>
  </si>
  <si>
    <t>Sum of Amount</t>
  </si>
  <si>
    <t>Rede pro vida</t>
  </si>
  <si>
    <t>Pao de acucar</t>
  </si>
  <si>
    <t>Complemento doacoes</t>
  </si>
  <si>
    <t>Almoco Bosch</t>
  </si>
  <si>
    <t>Toalha batizado</t>
  </si>
  <si>
    <t xml:space="preserve">Farmácia </t>
  </si>
  <si>
    <t xml:space="preserve">Galão d'água </t>
  </si>
  <si>
    <t>Localiza (1/3)</t>
  </si>
  <si>
    <t>Rosquinhas amamentacao</t>
  </si>
  <si>
    <t xml:space="preserve">Gasolina </t>
  </si>
  <si>
    <t xml:space="preserve">Farmácia - fio dental </t>
  </si>
  <si>
    <t xml:space="preserve">Farmácia - bebel </t>
  </si>
  <si>
    <t>Craft bakery</t>
  </si>
  <si>
    <t>Mamadeira Bebel (1/2)</t>
  </si>
  <si>
    <t xml:space="preserve">Capinha Celular </t>
  </si>
  <si>
    <t>Roupas Maria (1/6)</t>
  </si>
  <si>
    <t xml:space="preserve">Pao de açúcar </t>
  </si>
  <si>
    <t xml:space="preserve">Barrinhas </t>
  </si>
  <si>
    <t xml:space="preserve">Farmácia - Remédio bebel </t>
  </si>
  <si>
    <t>Seringas Bebel</t>
  </si>
  <si>
    <t xml:space="preserve">Roupas </t>
  </si>
  <si>
    <t xml:space="preserve">Sorvete Bosch </t>
  </si>
  <si>
    <t xml:space="preserve">Almoço Bosch </t>
  </si>
  <si>
    <t>Kindle unlimited</t>
  </si>
  <si>
    <t>Mundo verde (1/2)</t>
  </si>
  <si>
    <t>eduzz? (1/5)</t>
  </si>
  <si>
    <t xml:space="preserve">Pão de Açúcar </t>
  </si>
  <si>
    <t xml:space="preserve">Xô febre </t>
  </si>
  <si>
    <t>Bolo bebel</t>
  </si>
  <si>
    <t>Farmácia</t>
  </si>
  <si>
    <t xml:space="preserve">Estacionamento </t>
  </si>
  <si>
    <t>Napper</t>
  </si>
  <si>
    <t>Escorredor louca Bebel (1/6)</t>
  </si>
  <si>
    <t>Oxxo</t>
  </si>
  <si>
    <t>Torneira</t>
  </si>
  <si>
    <t>Farmacia - Suplemento Leite</t>
  </si>
  <si>
    <t>Receitas Doces (1/5)</t>
  </si>
  <si>
    <t>Chupeta e mamadeira</t>
  </si>
  <si>
    <t>Livros Cedet (1/6)</t>
  </si>
  <si>
    <t>Fraldas (1/2)</t>
  </si>
  <si>
    <t>Sorvete the soft</t>
  </si>
  <si>
    <t xml:space="preserve">Zero trigo </t>
  </si>
  <si>
    <t>Uber claudia</t>
  </si>
  <si>
    <t>Bolo Bebel</t>
  </si>
  <si>
    <t>Centro Dom bosco</t>
  </si>
  <si>
    <t>Costureira</t>
  </si>
  <si>
    <t>Farmacia - chupeta</t>
  </si>
  <si>
    <t>Brechó</t>
  </si>
  <si>
    <t>Tapete Bebel</t>
  </si>
  <si>
    <t>Brinco Bebel</t>
  </si>
  <si>
    <t>Mercado livre blackout</t>
  </si>
  <si>
    <t>Mundo verde chas</t>
  </si>
  <si>
    <t>Suplementos (creatina, vit C) (1/5)</t>
  </si>
  <si>
    <t>Fraldas (1/5)</t>
  </si>
  <si>
    <t>Curso colo ao berco</t>
  </si>
  <si>
    <t>Esmaltes farmacia</t>
  </si>
  <si>
    <t>Food to save</t>
  </si>
  <si>
    <t xml:space="preserve">Luz </t>
  </si>
  <si>
    <t>Farmácia (3/3)</t>
  </si>
  <si>
    <t>Wine (3/12)</t>
  </si>
  <si>
    <t>Tapete mesversario (3/5)</t>
  </si>
  <si>
    <t>Farmácia - fraldas (3/3)</t>
  </si>
  <si>
    <t>Farmácia - remédio Bebel (3/3)</t>
  </si>
  <si>
    <t>Curso Bebê Dorminhoco (3/12)</t>
  </si>
  <si>
    <t>Roupas Agorasoumae (3/6)</t>
  </si>
  <si>
    <t>Farmacia - Raia (2/3)</t>
  </si>
  <si>
    <t>Seguro Carro (3/10)</t>
  </si>
  <si>
    <t>Relógio Maria (3/8)</t>
  </si>
  <si>
    <t>Farmacia - Cha (2/3)</t>
  </si>
  <si>
    <t>Esterilizador bebel (2/6)</t>
  </si>
  <si>
    <t>Comidas zero latte (2/3)</t>
  </si>
  <si>
    <t>Farmácia fórmula (2/3)</t>
  </si>
  <si>
    <t>Mundo verde (2/4)</t>
  </si>
  <si>
    <t>Leiturinha (2/12)</t>
  </si>
  <si>
    <t>Amazon - bepantol (2/2)</t>
  </si>
  <si>
    <t>Sling/babador (2/2)</t>
  </si>
  <si>
    <t>Suplementos amamentacao (2/3)</t>
  </si>
  <si>
    <t>Mundo verde (2/3)</t>
  </si>
  <si>
    <t>Farmacia (hipoglos, fralda) (2/3)</t>
  </si>
  <si>
    <t>Algodões Bebel (2/6)</t>
  </si>
  <si>
    <t>dio - assinatura (2/12)</t>
  </si>
  <si>
    <t>Agorasoumae (2/6)</t>
  </si>
  <si>
    <t>Amazon - fraldas e hidratante (2/2)</t>
  </si>
  <si>
    <t>Farmacia (formula, colic calm) (2/3)</t>
  </si>
  <si>
    <t>Suplementos manipulados (2/4)</t>
  </si>
  <si>
    <t>12/3/2024</t>
  </si>
  <si>
    <t>12/5/2024</t>
  </si>
  <si>
    <t>12/13/2024</t>
  </si>
  <si>
    <t>12/15/2024</t>
  </si>
  <si>
    <t>12/18/2024</t>
  </si>
  <si>
    <t>12/25/2024</t>
  </si>
  <si>
    <t>12/28/2024</t>
  </si>
  <si>
    <t>12/30/2024</t>
  </si>
  <si>
    <t>Wine (4/12)</t>
  </si>
  <si>
    <t>Tapete mesversario (4/5)</t>
  </si>
  <si>
    <t>Roupas Agorasoumae (4/6)</t>
  </si>
  <si>
    <t>Farmacia - Raia (3/3)</t>
  </si>
  <si>
    <t>Seguro Carro (4/10)</t>
  </si>
  <si>
    <t>Relógio Maria (4/8)</t>
  </si>
  <si>
    <t>Farmacia - Cha (3/3)</t>
  </si>
  <si>
    <t>Esterilizador bebel (3/6)</t>
  </si>
  <si>
    <t>Comidas zero latte (3/3)</t>
  </si>
  <si>
    <t>Farmácia fórmula (3/3)</t>
  </si>
  <si>
    <t>Mundo verde (3/4)</t>
  </si>
  <si>
    <t>Leiturinha (3/12)</t>
  </si>
  <si>
    <t>Suplementos amamentacao (3/3)</t>
  </si>
  <si>
    <t>Mundo verde (3/3)</t>
  </si>
  <si>
    <t>Farmacia (hipoglos, fralda) (3/3)</t>
  </si>
  <si>
    <t>Algodões Bebel (3/6)</t>
  </si>
  <si>
    <t>dio - assinatura (3/12)</t>
  </si>
  <si>
    <t>Agorasoumae (3/6)</t>
  </si>
  <si>
    <t>Farmacia (formula, colic calm) (3/3)</t>
  </si>
  <si>
    <t>Suplementos manipulados (3/4)</t>
  </si>
  <si>
    <t>Suplementos (creatina, vit C) (2/5)</t>
  </si>
  <si>
    <t>Fraldas (2/5)</t>
  </si>
  <si>
    <t>Fraldas (2/2)</t>
  </si>
  <si>
    <t>Livros Cedet (2/6)</t>
  </si>
  <si>
    <t>Receitas Doces (2/5)</t>
  </si>
  <si>
    <t>Escorredor louca Bebel (2/6)</t>
  </si>
  <si>
    <t>eduzz? (2/5)</t>
  </si>
  <si>
    <t>Mundo verde (2/2)</t>
  </si>
  <si>
    <t>Roupas Maria (2/6)</t>
  </si>
  <si>
    <t>Mamadeira Bebel (2/2)</t>
  </si>
  <si>
    <t>Wine (6/12)</t>
  </si>
  <si>
    <t>Roupas Agorasoumae (6/6)</t>
  </si>
  <si>
    <t>Seguro Carro (6/10)</t>
  </si>
  <si>
    <t>Relógio Maria (6/8)</t>
  </si>
  <si>
    <t>Esterilizador bebel (5/6)</t>
  </si>
  <si>
    <t>Leiturinha (5/12)</t>
  </si>
  <si>
    <t>Algodões Bebel (5/6)</t>
  </si>
  <si>
    <t>dio - assinatura (5/12)</t>
  </si>
  <si>
    <t>Agorasoumae (5/6)</t>
  </si>
  <si>
    <t>Suplementos (creatina, vit C) (4/5)</t>
  </si>
  <si>
    <t>Fraldas (4/5)</t>
  </si>
  <si>
    <t>Livros Cedet (4/6)</t>
  </si>
  <si>
    <t>Receitas Doces (4/5)</t>
  </si>
  <si>
    <t>Escorredor louca Bebel (4/6)</t>
  </si>
  <si>
    <t>eduzz? (4/5)</t>
  </si>
  <si>
    <t>Roupas Maria (4/6)</t>
  </si>
  <si>
    <t>Wine (7/12)</t>
  </si>
  <si>
    <t>Seguro Carro (7/10)</t>
  </si>
  <si>
    <t>Relógio Maria (7/8)</t>
  </si>
  <si>
    <t>Leiturinha (6/12)</t>
  </si>
  <si>
    <t>dio - assinatura (6/12)</t>
  </si>
  <si>
    <t>Livros Cedet (6/6)</t>
  </si>
  <si>
    <t>Escorredor louca Bebel (6/6)</t>
  </si>
  <si>
    <t>Roupas Maria (6/6)</t>
  </si>
  <si>
    <t>Parcelas</t>
  </si>
  <si>
    <t>Galão dagua</t>
  </si>
  <si>
    <t>Echope</t>
  </si>
  <si>
    <t>Hotel pe Eraldo</t>
  </si>
  <si>
    <t>Farmacia - Zoloft</t>
  </si>
  <si>
    <t>Farmacia - manipulados</t>
  </si>
  <si>
    <t>Doces</t>
  </si>
  <si>
    <t xml:space="preserve">Omega 3 </t>
  </si>
  <si>
    <t>Amazon - tapete Bebel</t>
  </si>
  <si>
    <t>Amazon - produtos cabelo</t>
  </si>
  <si>
    <t>Pizza Braz</t>
  </si>
  <si>
    <t>Netshoes - whey</t>
  </si>
  <si>
    <t>Cabelo - paisagismo</t>
  </si>
  <si>
    <t>Bolo Batizado</t>
  </si>
  <si>
    <t>1/1</t>
  </si>
  <si>
    <t>1/12</t>
  </si>
  <si>
    <t>2/12</t>
  </si>
  <si>
    <t>3/12</t>
  </si>
  <si>
    <t>4/12</t>
  </si>
  <si>
    <t>5/12</t>
  </si>
  <si>
    <t>1/4</t>
  </si>
  <si>
    <t>2/4</t>
  </si>
  <si>
    <t>3/4</t>
  </si>
  <si>
    <t>4/4</t>
  </si>
  <si>
    <t>1/3</t>
  </si>
  <si>
    <t>2/3</t>
  </si>
  <si>
    <t>3/3</t>
  </si>
  <si>
    <t>1/5</t>
  </si>
  <si>
    <t>2/5</t>
  </si>
  <si>
    <t>3/5</t>
  </si>
  <si>
    <t>4/5</t>
  </si>
  <si>
    <t>5/5</t>
  </si>
  <si>
    <t>7/12</t>
  </si>
  <si>
    <t>8/8</t>
  </si>
  <si>
    <t>8/10</t>
  </si>
  <si>
    <t>8/12</t>
  </si>
  <si>
    <t>Wine</t>
  </si>
  <si>
    <t xml:space="preserve">Seguro Carro </t>
  </si>
  <si>
    <t>Relógio Maria</t>
  </si>
  <si>
    <t xml:space="preserve">Leiturinha </t>
  </si>
  <si>
    <t>dio - assinatura</t>
  </si>
  <si>
    <t>9/12</t>
  </si>
  <si>
    <t>9/10</t>
  </si>
  <si>
    <t>6/12</t>
  </si>
  <si>
    <t>10/12</t>
  </si>
  <si>
    <t>10/10</t>
  </si>
  <si>
    <t>11/12</t>
  </si>
  <si>
    <t>12/12</t>
  </si>
  <si>
    <t>2/2</t>
  </si>
  <si>
    <t>4/6</t>
  </si>
  <si>
    <t>4/10</t>
  </si>
  <si>
    <t>4/8</t>
  </si>
  <si>
    <t>3/6</t>
  </si>
  <si>
    <t>2/6</t>
  </si>
  <si>
    <t>Parcela</t>
  </si>
  <si>
    <t>5/6</t>
  </si>
  <si>
    <t>5/10</t>
  </si>
  <si>
    <t>5/8</t>
  </si>
  <si>
    <t xml:space="preserve">Tapete mesversario </t>
  </si>
  <si>
    <t xml:space="preserve">Roupas Agorasoumae </t>
  </si>
  <si>
    <t xml:space="preserve">Relógio Maria </t>
  </si>
  <si>
    <t xml:space="preserve">Esterilizador bebel </t>
  </si>
  <si>
    <t xml:space="preserve">Mundo verde </t>
  </si>
  <si>
    <t xml:space="preserve">Algodões Bebel </t>
  </si>
  <si>
    <t xml:space="preserve">dio - assinatura </t>
  </si>
  <si>
    <t xml:space="preserve">Agorasoumae </t>
  </si>
  <si>
    <t>Suplementos manipulados</t>
  </si>
  <si>
    <t>Suplementos (creatina, vit C)</t>
  </si>
  <si>
    <t>Fraldas</t>
  </si>
  <si>
    <t>Livros Cedet</t>
  </si>
  <si>
    <t>Receitas Doces</t>
  </si>
  <si>
    <t>Escorredor louca Bebel</t>
  </si>
  <si>
    <t xml:space="preserve">eduzz? </t>
  </si>
  <si>
    <t>Roupas Maria</t>
  </si>
  <si>
    <t>6/6</t>
  </si>
  <si>
    <t>6/10</t>
  </si>
  <si>
    <t>6/8</t>
  </si>
  <si>
    <t>7/10</t>
  </si>
  <si>
    <t>7/8</t>
  </si>
  <si>
    <t>Seguro Carro</t>
  </si>
  <si>
    <t>Esterilizador bebel</t>
  </si>
  <si>
    <t>Leiturinha</t>
  </si>
  <si>
    <t>Agorasoumae</t>
  </si>
  <si>
    <t>Mês</t>
  </si>
  <si>
    <t>Total Pendente</t>
  </si>
  <si>
    <t>07_2025</t>
  </si>
  <si>
    <t>08_2025</t>
  </si>
  <si>
    <t>09_2025</t>
  </si>
  <si>
    <t>10_2025</t>
  </si>
  <si>
    <t>11_2025</t>
  </si>
  <si>
    <t>12_2025</t>
  </si>
  <si>
    <t>Total Acumulado</t>
  </si>
  <si>
    <t xml:space="preserve">Farmacia </t>
  </si>
  <si>
    <t>Luz</t>
  </si>
  <si>
    <t>Centro Dom Bosco</t>
  </si>
  <si>
    <t>Galao dagua</t>
  </si>
  <si>
    <t>Poke</t>
  </si>
  <si>
    <t>Tortas</t>
  </si>
  <si>
    <t>Farmacia - esparadrapo e barrinha</t>
  </si>
  <si>
    <t>Estacionamento</t>
  </si>
  <si>
    <t>Mamadeiras Bebel</t>
  </si>
  <si>
    <t>Luz Algarve</t>
  </si>
  <si>
    <t>Unhas</t>
  </si>
  <si>
    <t>Bolo</t>
  </si>
  <si>
    <t>Item tia Valeria</t>
  </si>
  <si>
    <t>Amazon (livros)</t>
  </si>
  <si>
    <t>Amazon (suplementos)</t>
  </si>
  <si>
    <t>1/6</t>
  </si>
  <si>
    <t>Pastel</t>
  </si>
  <si>
    <t>Oleo essencial</t>
  </si>
  <si>
    <t>Mana Poke</t>
  </si>
  <si>
    <t>Kindle Unlimited</t>
  </si>
  <si>
    <t>Cesto Bebel</t>
  </si>
  <si>
    <t>Cadeirinha</t>
  </si>
  <si>
    <t>Gasolina oficina</t>
  </si>
  <si>
    <t>Renner</t>
  </si>
  <si>
    <t>Oculos de sol</t>
  </si>
  <si>
    <t>Cachorro quente</t>
  </si>
  <si>
    <t>1/2</t>
  </si>
  <si>
    <t>Craft Bakery</t>
  </si>
  <si>
    <t>Papelaria</t>
  </si>
  <si>
    <t>Crocs Maria</t>
  </si>
  <si>
    <t>Hot dog</t>
  </si>
  <si>
    <t>Gazeta do Povo</t>
  </si>
  <si>
    <t>Tim Baker</t>
  </si>
  <si>
    <t>Shorts Maria</t>
  </si>
  <si>
    <t>Zara</t>
  </si>
  <si>
    <t>Cafe Vantu</t>
  </si>
  <si>
    <t>Canguru</t>
  </si>
  <si>
    <t>Doacao Associacao Divina Misericordia</t>
  </si>
  <si>
    <t>Doacao Complemento - Divina Misericordia</t>
  </si>
  <si>
    <t>Seringas</t>
  </si>
  <si>
    <t>Agua</t>
  </si>
  <si>
    <t>Correio Canguru</t>
  </si>
  <si>
    <t>Previna</t>
  </si>
  <si>
    <t>s</t>
  </si>
  <si>
    <t>Casa de bolos</t>
  </si>
  <si>
    <t>Kalunga - caixas</t>
  </si>
  <si>
    <t>Amazon - Creatina</t>
  </si>
  <si>
    <t>Amazon - Suplementos</t>
  </si>
  <si>
    <t>1/8</t>
  </si>
  <si>
    <t>2/8</t>
  </si>
  <si>
    <t>3/8</t>
  </si>
  <si>
    <t>Amazon (espelho carro)</t>
  </si>
  <si>
    <t>Fotos Bebel</t>
  </si>
  <si>
    <t>Liberacao Miofascil</t>
  </si>
  <si>
    <t>Cafe Poupatempo</t>
  </si>
  <si>
    <t>Xerox</t>
  </si>
  <si>
    <t>Unha</t>
  </si>
  <si>
    <t>Maguje</t>
  </si>
  <si>
    <t>Estacionamento RJ</t>
  </si>
  <si>
    <t>Pedagio</t>
  </si>
  <si>
    <t xml:space="preserve">Frango assado </t>
  </si>
  <si>
    <t>Sucos RJ</t>
  </si>
  <si>
    <t>Café posto</t>
  </si>
  <si>
    <t>Bar da barata</t>
  </si>
  <si>
    <t>Cookies Friburgo</t>
  </si>
  <si>
    <t>Testes gravidez</t>
  </si>
  <si>
    <t>Cafe Estrada</t>
  </si>
  <si>
    <t>Exame Fleury beta</t>
  </si>
  <si>
    <t>Azahar - presente Maria</t>
  </si>
  <si>
    <t xml:space="preserve">Kalunga </t>
  </si>
  <si>
    <t>Localiza</t>
  </si>
  <si>
    <t>430 Pizza</t>
  </si>
  <si>
    <t>Alo bebe</t>
  </si>
  <si>
    <t>Bacio di Latte</t>
  </si>
  <si>
    <t>O Burgues</t>
  </si>
  <si>
    <t>Zinco Bebel</t>
  </si>
  <si>
    <t>Omega 3 e Vitaminas</t>
  </si>
  <si>
    <t>Doacao</t>
  </si>
  <si>
    <t>Storage</t>
  </si>
  <si>
    <t>Pintura Ap Maria Cristina</t>
  </si>
  <si>
    <t>City tortas</t>
  </si>
  <si>
    <t>Bombons</t>
  </si>
  <si>
    <t>Cafe D.Origem</t>
  </si>
  <si>
    <t>Farmacia - Formula</t>
  </si>
  <si>
    <t>Material pintura AP</t>
  </si>
  <si>
    <t>Brinquedos Bebel</t>
  </si>
  <si>
    <t>Tintas pintura AP</t>
  </si>
  <si>
    <t>Café Maritaka</t>
  </si>
  <si>
    <t>Agua de coco</t>
  </si>
  <si>
    <t>Café com Claudia</t>
  </si>
  <si>
    <t>LalaMove</t>
  </si>
  <si>
    <t>Flores Maria</t>
  </si>
  <si>
    <t>Churrasco Bosch</t>
  </si>
  <si>
    <t>Aquecedor Mamadeiras</t>
  </si>
  <si>
    <t>Café Posto</t>
  </si>
  <si>
    <t>Lavagem carro</t>
  </si>
  <si>
    <t>Café D.Origem</t>
  </si>
  <si>
    <t>Ifood club</t>
  </si>
  <si>
    <t>Pizza 430</t>
  </si>
  <si>
    <t>Laura e Francesco</t>
  </si>
  <si>
    <t>Hope biquini</t>
  </si>
  <si>
    <t>Cocas</t>
  </si>
  <si>
    <t>Amazon- tomadas</t>
  </si>
  <si>
    <t>Pix claudia</t>
  </si>
  <si>
    <t>"Primus"</t>
  </si>
  <si>
    <t>Previna - Xo Febre</t>
  </si>
  <si>
    <t xml:space="preserve">Drogasil </t>
  </si>
  <si>
    <t>Envelope</t>
  </si>
  <si>
    <t>Bebidas lacteas</t>
  </si>
  <si>
    <t>Maria Antonieta</t>
  </si>
  <si>
    <t>Cervejas</t>
  </si>
  <si>
    <t>Kindle Unlmtd</t>
  </si>
  <si>
    <t>Farmacia - Manipulados</t>
  </si>
  <si>
    <t>Grafica</t>
  </si>
  <si>
    <t>Farmacia (Formula)</t>
  </si>
  <si>
    <t>Vitaminas Cabelo</t>
  </si>
  <si>
    <t>Starbucks</t>
  </si>
  <si>
    <t>Farmacia - Colirio</t>
  </si>
  <si>
    <t>Sukiya Bosch</t>
  </si>
  <si>
    <t>Vitaminas e suplementos Luiz</t>
  </si>
  <si>
    <t>1/10</t>
  </si>
  <si>
    <t>2/10</t>
  </si>
  <si>
    <t>3/10</t>
  </si>
  <si>
    <t>Restaurante Fazenda</t>
  </si>
  <si>
    <t>Farmacia Zoloft</t>
  </si>
  <si>
    <t>Jusbrasil</t>
  </si>
  <si>
    <t>Conserto pneu</t>
  </si>
  <si>
    <t>Amazon - sacos leite</t>
  </si>
  <si>
    <t>Agua viagem</t>
  </si>
  <si>
    <t>Farmacia - Alicate</t>
  </si>
  <si>
    <t>Vivo</t>
  </si>
  <si>
    <t>Almoco Woodmac</t>
  </si>
  <si>
    <t>AI Photos</t>
  </si>
  <si>
    <t>Gran coffee</t>
  </si>
  <si>
    <t>Tenis Redley</t>
  </si>
  <si>
    <t>Bolsa Termica Leite</t>
  </si>
  <si>
    <t>Zona sul</t>
  </si>
  <si>
    <t>Gurume</t>
  </si>
  <si>
    <t xml:space="preserve">Gasolina viagem </t>
  </si>
  <si>
    <t>Petiscos Barto</t>
  </si>
  <si>
    <t>Uber RJ</t>
  </si>
  <si>
    <t>Boa Praca Leblon</t>
  </si>
  <si>
    <t>Protetor ouvido Bebel</t>
  </si>
  <si>
    <t>Amazon - Mamadeiras</t>
  </si>
  <si>
    <t>Salario Woodmack</t>
  </si>
  <si>
    <t>Azul Linhas Br3u9b</t>
  </si>
  <si>
    <t>Viagem RJ/VCP</t>
  </si>
  <si>
    <t>Azul Linhas oe8pxb</t>
  </si>
  <si>
    <t>1/7</t>
  </si>
  <si>
    <t>2/7</t>
  </si>
  <si>
    <t>3/7</t>
  </si>
  <si>
    <t>4/7</t>
  </si>
  <si>
    <t>5/7</t>
  </si>
  <si>
    <t>6/7</t>
  </si>
  <si>
    <t>7/7</t>
  </si>
  <si>
    <t>Apple</t>
  </si>
  <si>
    <t>Azul uq3ptk</t>
  </si>
  <si>
    <t>Juarez Gastronomia</t>
  </si>
  <si>
    <t>Drogaria Venancio</t>
  </si>
  <si>
    <t>Frogpay</t>
  </si>
  <si>
    <t>Major Paladino</t>
  </si>
  <si>
    <t>Pix Fatima</t>
  </si>
  <si>
    <t>Babá</t>
  </si>
  <si>
    <t>Almoco Gertrudis</t>
  </si>
  <si>
    <t>Feira Cambui</t>
  </si>
  <si>
    <t xml:space="preserve">Agua </t>
  </si>
  <si>
    <t>Materiais de construcao</t>
  </si>
  <si>
    <t>Tampa maquina de lavar</t>
  </si>
  <si>
    <t>Roupa Festa Junina Bebel</t>
  </si>
  <si>
    <t>Passagens Busao</t>
  </si>
  <si>
    <t>Japa delivery</t>
  </si>
  <si>
    <t>Coisa de dente</t>
  </si>
  <si>
    <t>Bicos mamadeira</t>
  </si>
  <si>
    <t>Amazon</t>
  </si>
  <si>
    <t xml:space="preserve">Leroy </t>
  </si>
  <si>
    <t>Doacao Arautos</t>
  </si>
  <si>
    <t>Niples pia</t>
  </si>
  <si>
    <t>99 cargo</t>
  </si>
  <si>
    <t xml:space="preserve">Mary Kay </t>
  </si>
  <si>
    <t>Diana Maria WM</t>
  </si>
  <si>
    <t>Lavanderia RJ</t>
  </si>
  <si>
    <t>Unhas Maria</t>
  </si>
  <si>
    <t>Presente Julyana</t>
  </si>
  <si>
    <t>Passagem RJ LM7ZFT</t>
  </si>
  <si>
    <t>Passagem RJ BL1LUW</t>
  </si>
  <si>
    <t>Leroy</t>
  </si>
  <si>
    <t>Pizza</t>
  </si>
  <si>
    <t>Uber Bosch</t>
  </si>
  <si>
    <t>Uber Rodoviaria</t>
  </si>
  <si>
    <t>Lanche rodoviaria</t>
  </si>
  <si>
    <t>Cafe viagem</t>
  </si>
  <si>
    <t>Youtube premium</t>
  </si>
  <si>
    <t>Farmacia (formula, copo e chupueta)</t>
  </si>
  <si>
    <t>Brocas Bosch</t>
  </si>
  <si>
    <t>Adelia cafe</t>
  </si>
  <si>
    <t>Passagem Rio Bus</t>
  </si>
  <si>
    <t>Farmacia - Remedio Bebel</t>
  </si>
  <si>
    <t>Graal - viagem</t>
  </si>
  <si>
    <t>Farmacia - Bicos chupeta</t>
  </si>
  <si>
    <t xml:space="preserve">Passagem Booking </t>
  </si>
  <si>
    <t>Farmacia - aspirador</t>
  </si>
  <si>
    <t>Barrinhas Bold</t>
  </si>
  <si>
    <t>Amazon - itens diversos</t>
  </si>
  <si>
    <t>Essential - remedio Bebel</t>
  </si>
  <si>
    <t>Liti</t>
  </si>
  <si>
    <t>Farmacia RJ</t>
  </si>
  <si>
    <t>Almoço Bosch</t>
  </si>
  <si>
    <t>Passagem 123milhas</t>
  </si>
  <si>
    <t>Janta Marcelo</t>
  </si>
  <si>
    <t>Doacao Igreja NSB</t>
  </si>
  <si>
    <t xml:space="preserve">Passagem busao RJ </t>
  </si>
  <si>
    <t>Amazon  - aromatizador</t>
  </si>
  <si>
    <t>Amazon - porta tangerina</t>
  </si>
  <si>
    <t>Copos medela</t>
  </si>
  <si>
    <t>Cadeira alimentacao</t>
  </si>
  <si>
    <t>Algodões Bebel</t>
  </si>
  <si>
    <t>Raia - algodão e soro</t>
  </si>
  <si>
    <t>Mercado livre - cabides</t>
  </si>
  <si>
    <t>Tabua de carne</t>
  </si>
  <si>
    <t xml:space="preserve">Passagem azul </t>
  </si>
  <si>
    <t>Mil Decor</t>
  </si>
  <si>
    <t>Impermeabilização</t>
  </si>
  <si>
    <t>Carrefour</t>
  </si>
  <si>
    <t>Açougue</t>
  </si>
  <si>
    <t>Drogasil - Otorrino</t>
  </si>
  <si>
    <t>Pao Vila Paraiso</t>
  </si>
  <si>
    <t>Amazon - organizadores</t>
  </si>
  <si>
    <t>Borracharia</t>
  </si>
  <si>
    <t>Cafe Oficina</t>
  </si>
  <si>
    <t>Both</t>
  </si>
  <si>
    <t>Salario Woodmac</t>
  </si>
  <si>
    <t>Amazon - mordedor</t>
  </si>
  <si>
    <t>Pizza - Pe Eraldo</t>
  </si>
  <si>
    <t>Amazon - brinquedo Bebel</t>
  </si>
  <si>
    <t>Frango Assado</t>
  </si>
  <si>
    <t>Mesinhas sala</t>
  </si>
  <si>
    <t>Amazon - Wap cleaner</t>
  </si>
  <si>
    <t>Gasolina - RJ</t>
  </si>
  <si>
    <t>Localiza - Pedagio</t>
  </si>
  <si>
    <t>Salchepao</t>
  </si>
  <si>
    <t>Pizza hut</t>
  </si>
  <si>
    <t>Cafe conceito</t>
  </si>
  <si>
    <t>Liti Maria</t>
  </si>
  <si>
    <t>Coffee mais</t>
  </si>
  <si>
    <t>Ifoodclub</t>
  </si>
  <si>
    <t>Carrefour sopa</t>
  </si>
  <si>
    <t>Amazon- yopro</t>
  </si>
  <si>
    <t>Chatgpt</t>
  </si>
  <si>
    <t>Bread king</t>
  </si>
  <si>
    <t>Swift</t>
  </si>
  <si>
    <t>Amazon - ralo pia</t>
  </si>
  <si>
    <t>Ze delivery</t>
  </si>
  <si>
    <t>Adaptaorg</t>
  </si>
  <si>
    <t>Passagem azul (Capo)</t>
  </si>
  <si>
    <t>IPTU</t>
  </si>
  <si>
    <t>Passagem Azul NG64HI</t>
  </si>
  <si>
    <t>Colchao Bebel</t>
  </si>
  <si>
    <t>Babá eletronica</t>
  </si>
  <si>
    <t xml:space="preserve">Sonoffs </t>
  </si>
  <si>
    <t>Amazon - produtos carro</t>
  </si>
  <si>
    <t>Farmácia - Fórmula</t>
  </si>
  <si>
    <t>Amazon - brinquedos bebel</t>
  </si>
  <si>
    <t>Amazon- estante depósito</t>
  </si>
  <si>
    <t>Presente Pietro</t>
  </si>
  <si>
    <t>Voo azul</t>
  </si>
  <si>
    <t>Diarista</t>
  </si>
  <si>
    <t>Passagem Busao</t>
  </si>
  <si>
    <t>Academia Bluefit</t>
  </si>
  <si>
    <t>Zona Sul</t>
  </si>
  <si>
    <t>Metro rj</t>
  </si>
  <si>
    <t>Presente prima Maria</t>
  </si>
  <si>
    <t>Zona Sul vinho Maria</t>
  </si>
  <si>
    <t>Cafe da manha RJ</t>
  </si>
  <si>
    <t>Esfihas</t>
  </si>
  <si>
    <t>Rappi - Aguas</t>
  </si>
  <si>
    <t>Suporte camera</t>
  </si>
  <si>
    <t>Uber Cps</t>
  </si>
  <si>
    <t>Liti Luiz</t>
  </si>
  <si>
    <t>Clube Azul</t>
  </si>
  <si>
    <t>Metro</t>
  </si>
  <si>
    <t>Brinquedo Bebel</t>
  </si>
  <si>
    <t>Camera Baba</t>
  </si>
  <si>
    <t>Swift carnes</t>
  </si>
  <si>
    <t>Mercado livre - bandeja, espelhos</t>
  </si>
  <si>
    <t>Cafe tokstok</t>
  </si>
  <si>
    <t>Tok&amp;Stok</t>
  </si>
  <si>
    <t>Shopee - cestos</t>
  </si>
  <si>
    <t>Azul - taxas</t>
  </si>
  <si>
    <t>Shopee - luz noturna</t>
  </si>
  <si>
    <t>Almoco RJ</t>
  </si>
  <si>
    <t>Shopee - fantasia</t>
  </si>
  <si>
    <t>Temu - cesto</t>
  </si>
  <si>
    <t>Auxilio aluguel</t>
  </si>
  <si>
    <t>IPVA Carro</t>
  </si>
  <si>
    <t>Pediatra</t>
  </si>
  <si>
    <t>Psicologa</t>
  </si>
  <si>
    <t>Cadeira de balanço</t>
  </si>
  <si>
    <t>Osteopata</t>
  </si>
  <si>
    <t>Thais - Laser</t>
  </si>
  <si>
    <t>Aluguel Airbnb</t>
  </si>
  <si>
    <t>Presente vó Celina</t>
  </si>
  <si>
    <t>Nutricionista - Daniela Ramalho</t>
  </si>
  <si>
    <t>Anuidade CREA</t>
  </si>
  <si>
    <t>Oficina - Seguro</t>
  </si>
  <si>
    <t>Exame Fleury</t>
  </si>
  <si>
    <t>Inves RF XP</t>
  </si>
  <si>
    <t>Fono dra Dani</t>
  </si>
  <si>
    <t>DPVAT</t>
  </si>
  <si>
    <t>Kinedu Premium</t>
  </si>
  <si>
    <t>Seguro Whole life</t>
  </si>
  <si>
    <t>Prev XP</t>
  </si>
  <si>
    <t>Compra USDs avenue</t>
  </si>
  <si>
    <t>App rotina</t>
  </si>
  <si>
    <t>Passagem Pe Eraldo</t>
  </si>
  <si>
    <t>Batismo</t>
  </si>
  <si>
    <t>Consulta Isabela</t>
  </si>
  <si>
    <t>Acupuntura</t>
  </si>
  <si>
    <t>Vacinas 2 meses</t>
  </si>
  <si>
    <t>Consultora amamentação - Laser</t>
  </si>
  <si>
    <t>Consulta Pediatra</t>
  </si>
  <si>
    <t>Psicologa (fevereiro)</t>
  </si>
  <si>
    <t>Consulta Fono</t>
  </si>
  <si>
    <t>Aluguel Algarve</t>
  </si>
  <si>
    <t>Creighton</t>
  </si>
  <si>
    <t>Osteopata Bebel</t>
  </si>
  <si>
    <t>Osteopata Maria</t>
  </si>
  <si>
    <t>Caixinha UV</t>
  </si>
  <si>
    <t>Almoço Batizado</t>
  </si>
  <si>
    <t>Compra Bitcoins</t>
  </si>
  <si>
    <t>Psicologa (marco)</t>
  </si>
  <si>
    <t>Dermato - Juliana</t>
  </si>
  <si>
    <t>Exames Fleury</t>
  </si>
  <si>
    <t>Vacinas Bebel 3 meses</t>
  </si>
  <si>
    <t>Assinatura Hallow</t>
  </si>
  <si>
    <t>Vacina Bronquiolite</t>
  </si>
  <si>
    <t>Presente Bruno</t>
  </si>
  <si>
    <t>Certidão Casamento</t>
  </si>
  <si>
    <t>Meliuz</t>
  </si>
  <si>
    <t>Psicologa (abril)</t>
  </si>
  <si>
    <t>Vacinas Bebel 4 meses</t>
  </si>
  <si>
    <t>Curso Mini Demandas</t>
  </si>
  <si>
    <t>PLR Bosch</t>
  </si>
  <si>
    <t>Eletros Ap antigo</t>
  </si>
  <si>
    <t>Investimento XP</t>
  </si>
  <si>
    <t>Estante Ap antigo</t>
  </si>
  <si>
    <t>Torneira Cozinha</t>
  </si>
  <si>
    <t>Vacina Gripe Beep</t>
  </si>
  <si>
    <t>Prev Bosch</t>
  </si>
  <si>
    <t>Coursera</t>
  </si>
  <si>
    <t>Consulta Dentista</t>
  </si>
  <si>
    <t>Mesa de Jantar</t>
  </si>
  <si>
    <t>Depurador cozinha</t>
  </si>
  <si>
    <t>Vacinas Maio</t>
  </si>
  <si>
    <t>Iphone Maria</t>
  </si>
  <si>
    <t>Container</t>
  </si>
  <si>
    <t>Rescisao Mckinsey</t>
  </si>
  <si>
    <t>Aplicacao</t>
  </si>
  <si>
    <t>Restituiçao IR 2024</t>
  </si>
  <si>
    <t>Curso Amazon Start</t>
  </si>
  <si>
    <t>Amazon Seller</t>
  </si>
  <si>
    <t>Carrinho Viagem Bebel</t>
  </si>
  <si>
    <t>Seguro de vida</t>
  </si>
  <si>
    <t>Airpods</t>
  </si>
  <si>
    <t>Consulta Otorrino</t>
  </si>
  <si>
    <t>Vacinas 6 meses</t>
  </si>
  <si>
    <t>Juliana Dermato</t>
  </si>
  <si>
    <t>Multa</t>
  </si>
  <si>
    <t>Otorrino RJ</t>
  </si>
  <si>
    <t>Outros</t>
  </si>
  <si>
    <t>Raissa - almoço RJ</t>
  </si>
  <si>
    <t>Filipina deli</t>
  </si>
  <si>
    <t>Remedios Bebel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</si>
</sst>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\R&quot;$&quot;\ #,##0.00"/>
  </numFmts>
  <fonts count="3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DEEAF6"/>
        <bgColor rgb="FFDEEAF6"/>
      </patternFill>
    </fill>
    <fill>
      <patternFill patternType="solid">
        <fgColor rgb="FFBDD6EE"/>
        <bgColor rgb="FFBDD6EE"/>
      </patternFill>
    </fill>
    <fill>
      <patternFill patternType="solid">
        <fgColor rgb="FFD9E2F3"/>
        <bgColor rgb="FFD9E2F3"/>
      </patternFill>
    </fill>
    <fill>
      <patternFill patternType="solid">
        <fgColor rgb="FFB4C6E7"/>
        <bgColor rgb="FFB4C6E7"/>
      </patternFill>
    </fill>
  </fills>
  <borders count="6">
    <border>
      <left/>
      <right/>
      <top/>
      <bottom/>
      <diagonal/>
    </border>
    <border>
      <left/>
      <right/>
      <top/>
      <bottom style="thin">
        <color rgb="FF8EAADB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193">
    <xf numFmtId="0" fontId="0" fillId="0" borderId="0" xfId="0" applyFont="1" applyAlignment="1"/>
    <xf numFmtId="0" fontId="25" fillId="0" borderId="0" xfId="0" applyFont="1"/>
    <xf numFmtId="0" fontId="25" fillId="0" borderId="0" xfId="0" applyFont="1"/>
    <xf numFmtId="2" fontId="25" fillId="0" borderId="0" xfId="0" applyNumberFormat="1" applyFont="1"/>
    <xf numFmtId="14" fontId="25" fillId="0" borderId="0" xfId="0" applyNumberFormat="1" applyFont="1"/>
    <xf numFmtId="14" fontId="25" fillId="0" borderId="0" xfId="0" applyNumberFormat="1" applyFont="1" applyAlignment="1">
      <alignment horizontal="right"/>
    </xf>
    <xf numFmtId="0" fontId="25" fillId="0" borderId="0" xfId="0" applyFont="1" applyAlignment="1"/>
    <xf numFmtId="2" fontId="25" fillId="0" borderId="0" xfId="0" applyNumberFormat="1" applyFont="1" applyAlignment="1"/>
    <xf numFmtId="14" fontId="25" fillId="0" borderId="0" xfId="0" applyNumberFormat="1" applyFont="1"/>
    <xf numFmtId="0" fontId="26" fillId="0" borderId="1" xfId="0" applyFont="1" applyBorder="1" applyAlignment="1">
      <alignment horizontal="left"/>
    </xf>
    <xf numFmtId="0" fontId="26" fillId="0" borderId="0" xfId="0" applyFont="1" applyAlignment="1">
      <alignment horizontal="left"/>
    </xf>
    <xf numFmtId="0" fontId="0" fillId="0" borderId="2" xfId="0" pivotButton="1" applyFont="1" applyBorder="1" applyAlignment="1"/>
    <xf numFmtId="0" fontId="0" fillId="0" borderId="3" xfId="0" applyFont="1" applyBorder="1" applyAlignment="1"/>
    <xf numFmtId="0" fontId="0" fillId="0" borderId="2" xfId="0" applyFont="1" applyBorder="1" applyAlignment="1">
      <alignment horizontal="left"/>
    </xf>
    <xf numFmtId="0" fontId="0" fillId="0" borderId="3" xfId="0" applyNumberFormat="1" applyFont="1" applyBorder="1" applyAlignment="1"/>
    <xf numFmtId="0" fontId="0" fillId="0" borderId="5" xfId="0" applyFont="1" applyBorder="1" applyAlignment="1">
      <alignment horizontal="left"/>
    </xf>
    <xf numFmtId="0" fontId="0" fillId="0" borderId="4" xfId="0" applyNumberFormat="1" applyFont="1" applyBorder="1" applyAlignment="1"/>
    <xf numFmtId="0" fontId="0" fillId="0" borderId="0" xfId="0"/>
    <xf numFmtId="0" fontId="27" fillId="0" borderId="0" xfId="0" applyFont="1"/>
    <xf numFmtId="14" fontId="0" fillId="0" borderId="0" xfId="0" applyNumberFormat="1" applyFont="1" applyAlignment="1"/>
    <xf numFmtId="0" fontId="25" fillId="2" borderId="0" xfId="0" applyFont="1" applyFill="1"/>
    <xf numFmtId="0" fontId="25" fillId="2" borderId="0" xfId="0" applyFont="1" applyFill="1" applyAlignment="1"/>
    <xf numFmtId="0" fontId="0" fillId="0" borderId="0" xfId="0" applyFont="1" applyAlignment="1"/>
    <xf numFmtId="2" fontId="0" fillId="0" borderId="0" xfId="0" applyNumberFormat="1"/>
    <xf numFmtId="0" fontId="0" fillId="0" borderId="0" xfId="0" applyNumberFormat="1" applyFont="1" applyAlignment="1"/>
    <xf numFmtId="0" fontId="0" fillId="0" borderId="0" xfId="0"/>
    <xf numFmtId="14" fontId="0" fillId="0" borderId="0" xfId="0" applyNumberFormat="1"/>
    <xf numFmtId="49" fontId="0" fillId="0" borderId="0" xfId="0" applyNumberFormat="1"/>
    <xf numFmtId="2" fontId="27" fillId="0" borderId="0" xfId="0" applyNumberFormat="1" applyFont="1"/>
    <xf numFmtId="0" fontId="28" fillId="0" borderId="0" xfId="0" applyFont="1"/>
    <xf numFmtId="0" fontId="24" fillId="0" borderId="0" xfId="0" applyFont="1"/>
    <xf numFmtId="49" fontId="24" fillId="0" borderId="0" xfId="0" applyNumberFormat="1" applyFont="1"/>
    <xf numFmtId="164" fontId="0" fillId="0" borderId="0" xfId="0" applyNumberFormat="1" applyFont="1" applyAlignment="1"/>
    <xf numFmtId="14" fontId="27" fillId="0" borderId="0" xfId="0" applyNumberFormat="1" applyFont="1"/>
    <xf numFmtId="2" fontId="0" fillId="0" borderId="0" xfId="0" applyNumberFormat="1"/>
    <xf numFmtId="49" fontId="23" fillId="0" borderId="0" xfId="0" applyNumberFormat="1" applyFont="1"/>
    <xf numFmtId="2" fontId="0" fillId="0" borderId="0" xfId="0" applyNumberFormat="1"/>
    <xf numFmtId="2" fontId="0" fillId="0" borderId="0" xfId="0" applyNumberFormat="1"/>
    <xf numFmtId="0" fontId="22" fillId="0" borderId="0" xfId="0" applyFont="1"/>
    <xf numFmtId="2" fontId="0" fillId="0" borderId="0" xfId="0" applyNumberFormat="1"/>
    <xf numFmtId="2" fontId="0" fillId="0" borderId="0" xfId="0" applyNumberFormat="1"/>
    <xf numFmtId="0" fontId="21" fillId="0" borderId="0" xfId="0" applyFo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20" fillId="0" borderId="0" xfId="0" applyFo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19" fillId="0" borderId="0" xfId="0" applyFont="1"/>
    <xf numFmtId="49" fontId="19" fillId="0" borderId="0" xfId="0" applyNumberFormat="1" applyFont="1"/>
    <xf numFmtId="2" fontId="0" fillId="0" borderId="0" xfId="0" applyNumberFormat="1"/>
    <xf numFmtId="2" fontId="0" fillId="0" borderId="0" xfId="0" applyNumberFormat="1"/>
    <xf numFmtId="0" fontId="18" fillId="0" borderId="0" xfId="0" applyFont="1" applyAlignme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14" fontId="17" fillId="0" borderId="0" xfId="0" applyNumberFormat="1" applyFont="1" applyAlignme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3" xfId="0" applyNumberFormat="1" applyFont="1" applyBorder="1" applyAlignment="1"/>
    <xf numFmtId="2" fontId="0" fillId="0" borderId="4" xfId="0" applyNumberFormat="1" applyFont="1" applyBorder="1" applyAlignmen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16" fillId="0" borderId="0" xfId="0" applyFont="1"/>
    <xf numFmtId="49" fontId="16" fillId="0" borderId="0" xfId="0" applyNumberFormat="1" applyFont="1"/>
    <xf numFmtId="0" fontId="0" fillId="0" borderId="0" xfId="0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2" fontId="0" fillId="0" borderId="0" xfId="0" applyNumberFormat="1"/>
    <xf numFmtId="0" fontId="0" fillId="0" borderId="0" xfId="0" applyFont="1" applyAlignment="1"/>
    <xf numFmtId="0" fontId="0" fillId="0" borderId="0" xfId="0"/>
    <xf numFmtId="2" fontId="0" fillId="0" borderId="0" xfId="0" applyNumberFormat="1"/>
    <xf numFmtId="0" fontId="0" fillId="0" borderId="0" xfId="0" applyFont="1" applyAlignment="1"/>
    <xf numFmtId="0" fontId="0" fillId="0" borderId="0" xfId="0"/>
    <xf numFmtId="2" fontId="0" fillId="0" borderId="0" xfId="0" applyNumberFormat="1"/>
    <xf numFmtId="0" fontId="15" fillId="0" borderId="0" xfId="0" applyFont="1"/>
    <xf numFmtId="49" fontId="15" fillId="0" borderId="0" xfId="0" applyNumberFormat="1" applyFont="1"/>
    <xf numFmtId="2" fontId="0" fillId="0" borderId="0" xfId="0" applyNumberFormat="1"/>
    <xf numFmtId="0" fontId="14" fillId="0" borderId="0" xfId="0" applyFont="1"/>
    <xf numFmtId="49" fontId="14" fillId="0" borderId="0" xfId="0" applyNumberFormat="1" applyFont="1"/>
    <xf numFmtId="2" fontId="0" fillId="0" borderId="0" xfId="0" applyNumberFormat="1"/>
    <xf numFmtId="2" fontId="0" fillId="0" borderId="0" xfId="0" applyNumberFormat="1"/>
    <xf numFmtId="0" fontId="0" fillId="0" borderId="0" xfId="0" applyFont="1" applyAlignment="1"/>
    <xf numFmtId="0" fontId="0" fillId="0" borderId="0" xfId="0"/>
    <xf numFmtId="2" fontId="0" fillId="0" borderId="0" xfId="0" applyNumberFormat="1"/>
    <xf numFmtId="0" fontId="0" fillId="0" borderId="0" xfId="0" applyFont="1" applyAlignment="1"/>
    <xf numFmtId="2" fontId="0" fillId="0" borderId="0" xfId="0" applyNumberFormat="1"/>
    <xf numFmtId="0" fontId="13" fillId="0" borderId="0" xfId="0" applyFont="1"/>
    <xf numFmtId="2" fontId="0" fillId="0" borderId="0" xfId="0" applyNumberFormat="1"/>
    <xf numFmtId="0" fontId="0" fillId="0" borderId="0" xfId="0" applyFont="1" applyAlignment="1"/>
    <xf numFmtId="2" fontId="0" fillId="0" borderId="0" xfId="0" applyNumberFormat="1"/>
    <xf numFmtId="0" fontId="12" fillId="0" borderId="0" xfId="0" applyFont="1"/>
    <xf numFmtId="49" fontId="12" fillId="0" borderId="0" xfId="0" applyNumberFormat="1" applyFont="1"/>
    <xf numFmtId="2" fontId="0" fillId="0" borderId="0" xfId="0" applyNumberFormat="1"/>
    <xf numFmtId="0" fontId="0" fillId="0" borderId="0" xfId="0" applyFont="1" applyAlignment="1"/>
    <xf numFmtId="2" fontId="0" fillId="0" borderId="0" xfId="0" applyNumberFormat="1"/>
    <xf numFmtId="0" fontId="0" fillId="0" borderId="0" xfId="0" applyFont="1" applyAlignment="1"/>
    <xf numFmtId="2" fontId="0" fillId="0" borderId="0" xfId="0" applyNumberFormat="1"/>
    <xf numFmtId="0" fontId="0" fillId="0" borderId="0" xfId="0"/>
    <xf numFmtId="2" fontId="0" fillId="0" borderId="0" xfId="0" applyNumberFormat="1"/>
    <xf numFmtId="0" fontId="11" fillId="0" borderId="0" xfId="0" applyFont="1" applyAlignment="1"/>
    <xf numFmtId="0" fontId="11" fillId="0" borderId="0" xfId="0" applyFont="1"/>
    <xf numFmtId="0" fontId="10" fillId="0" borderId="0" xfId="0" applyFont="1"/>
    <xf numFmtId="0" fontId="0" fillId="0" borderId="0" xfId="0"/>
    <xf numFmtId="2" fontId="0" fillId="0" borderId="0" xfId="0" applyNumberFormat="1"/>
    <xf numFmtId="2" fontId="0" fillId="0" borderId="0" xfId="0" applyNumberFormat="1"/>
    <xf numFmtId="0" fontId="9" fillId="0" borderId="0" xfId="0" applyFont="1"/>
    <xf numFmtId="0" fontId="0" fillId="0" borderId="0" xfId="0" applyFont="1" applyAlignment="1"/>
    <xf numFmtId="2" fontId="0" fillId="0" borderId="0" xfId="0" applyNumberFormat="1"/>
    <xf numFmtId="2" fontId="0" fillId="0" borderId="0" xfId="0" applyNumberFormat="1"/>
    <xf numFmtId="0" fontId="8" fillId="0" borderId="0" xfId="0" applyFont="1" applyAlignment="1"/>
    <xf numFmtId="14" fontId="8" fillId="0" borderId="0" xfId="0" applyNumberFormat="1" applyFont="1" applyAlignment="1"/>
    <xf numFmtId="0" fontId="7" fillId="0" borderId="0" xfId="0" applyFont="1"/>
    <xf numFmtId="2" fontId="0" fillId="0" borderId="0" xfId="0" applyNumberFormat="1"/>
    <xf numFmtId="2" fontId="0" fillId="0" borderId="0" xfId="0" applyNumberFormat="1"/>
    <xf numFmtId="0" fontId="0" fillId="0" borderId="0" xfId="0"/>
    <xf numFmtId="2" fontId="0" fillId="0" borderId="0" xfId="0" applyNumberFormat="1"/>
    <xf numFmtId="0" fontId="0" fillId="0" borderId="0" xfId="0" applyFont="1" applyAlignment="1"/>
    <xf numFmtId="2" fontId="0" fillId="0" borderId="0" xfId="0" applyNumberFormat="1"/>
    <xf numFmtId="0" fontId="6" fillId="0" borderId="0" xfId="0" applyFont="1"/>
    <xf numFmtId="0" fontId="5" fillId="0" borderId="0" xfId="0" applyFont="1" applyAlignment="1"/>
    <xf numFmtId="0" fontId="0" fillId="0" borderId="0" xfId="0" applyFont="1" applyAlignment="1"/>
    <xf numFmtId="0" fontId="0" fillId="0" borderId="0" xfId="0"/>
    <xf numFmtId="2" fontId="0" fillId="0" borderId="0" xfId="0" applyNumberFormat="1"/>
    <xf numFmtId="0" fontId="4" fillId="0" borderId="0" xfId="0" applyFont="1" applyAlignment="1"/>
    <xf numFmtId="0" fontId="4" fillId="0" borderId="0" xfId="0" applyFont="1"/>
    <xf numFmtId="2" fontId="0" fillId="0" borderId="0" xfId="0" applyNumberFormat="1"/>
    <xf numFmtId="0" fontId="25" fillId="3" borderId="0" xfId="0" applyFont="1" applyFill="1"/>
    <xf numFmtId="14" fontId="25" fillId="3" borderId="0" xfId="0" applyNumberFormat="1" applyFont="1" applyFill="1"/>
    <xf numFmtId="0" fontId="25" fillId="4" borderId="0" xfId="0" applyFont="1" applyFill="1"/>
    <xf numFmtId="14" fontId="25" fillId="4" borderId="0" xfId="0" applyNumberFormat="1" applyFont="1" applyFill="1"/>
    <xf numFmtId="2" fontId="25" fillId="3" borderId="0" xfId="0" applyNumberFormat="1" applyFont="1" applyFill="1"/>
    <xf numFmtId="2" fontId="25" fillId="4" borderId="0" xfId="0" applyNumberFormat="1" applyFont="1" applyFill="1"/>
    <xf numFmtId="14" fontId="25" fillId="3" borderId="0" xfId="0" applyNumberFormat="1" applyFont="1" applyFill="1" applyAlignment="1">
      <alignment horizontal="right"/>
    </xf>
    <xf numFmtId="14" fontId="25" fillId="4" borderId="0" xfId="0" applyNumberFormat="1" applyFont="1" applyFill="1" applyAlignment="1">
      <alignment horizontal="right"/>
    </xf>
    <xf numFmtId="0" fontId="3" fillId="4" borderId="0" xfId="0" applyFont="1" applyFill="1"/>
    <xf numFmtId="0" fontId="0" fillId="4" borderId="0" xfId="0" applyFill="1"/>
    <xf numFmtId="14" fontId="0" fillId="4" borderId="0" xfId="0" applyNumberFormat="1" applyFill="1"/>
    <xf numFmtId="0" fontId="0" fillId="3" borderId="0" xfId="0" applyFill="1"/>
    <xf numFmtId="14" fontId="0" fillId="3" borderId="0" xfId="0" applyNumberFormat="1" applyFill="1"/>
    <xf numFmtId="0" fontId="3" fillId="3" borderId="0" xfId="0" applyFont="1" applyFill="1"/>
    <xf numFmtId="14" fontId="3" fillId="3" borderId="0" xfId="0" applyNumberFormat="1" applyFont="1" applyFill="1"/>
    <xf numFmtId="2" fontId="3" fillId="3" borderId="0" xfId="0" applyNumberFormat="1" applyFont="1" applyFill="1"/>
    <xf numFmtId="2" fontId="3" fillId="4" borderId="0" xfId="0" applyNumberFormat="1" applyFont="1" applyFill="1"/>
    <xf numFmtId="2" fontId="0" fillId="3" borderId="0" xfId="0" applyNumberFormat="1" applyFill="1"/>
    <xf numFmtId="2" fontId="0" fillId="4" borderId="0" xfId="0" applyNumberFormat="1" applyFill="1"/>
    <xf numFmtId="0" fontId="26" fillId="5" borderId="0" xfId="0" applyFont="1" applyFill="1"/>
    <xf numFmtId="0" fontId="25" fillId="6" borderId="0" xfId="0" applyFont="1" applyFill="1"/>
    <xf numFmtId="0" fontId="25" fillId="5" borderId="0" xfId="0" applyFont="1" applyFill="1"/>
    <xf numFmtId="0" fontId="0" fillId="6" borderId="0" xfId="0" applyFill="1"/>
    <xf numFmtId="0" fontId="0" fillId="5" borderId="0" xfId="0" applyFill="1"/>
    <xf numFmtId="0" fontId="3" fillId="5" borderId="0" xfId="0" applyFont="1" applyFill="1"/>
    <xf numFmtId="0" fontId="3" fillId="6" borderId="0" xfId="0" applyFont="1" applyFill="1"/>
    <xf numFmtId="14" fontId="26" fillId="5" borderId="0" xfId="0" applyNumberFormat="1" applyFont="1" applyFill="1"/>
    <xf numFmtId="14" fontId="25" fillId="6" borderId="0" xfId="0" applyNumberFormat="1" applyFont="1" applyFill="1"/>
    <xf numFmtId="14" fontId="25" fillId="5" borderId="0" xfId="0" applyNumberFormat="1" applyFont="1" applyFill="1"/>
    <xf numFmtId="0" fontId="0" fillId="0" borderId="0" xfId="0"/>
    <xf numFmtId="0" fontId="2" fillId="0" borderId="0" xfId="0" applyFont="1" applyAlignment="1"/>
    <xf numFmtId="0" fontId="0" fillId="0" borderId="0" xfId="0"/>
    <xf numFmtId="0" fontId="25" fillId="0" borderId="0" xfId="0" applyFont="1" applyAlignment="1">
      <alignment horizontal="center"/>
    </xf>
    <xf numFmtId="0" fontId="0" fillId="0" borderId="0" xfId="0" applyFont="1" applyAlignment="1"/>
    <xf numFmtId="0" fontId="0" fillId="0" borderId="0" xfId="0"/>
    <xf numFmtId="2" fontId="0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49" fontId="1" fillId="0" borderId="0" xfId="0" applyNumberFormat="1" applyFont="1"/>
    <xf numFmtId="0" fontId="1" fillId="0" borderId="0" xfId="0" applyFont="1"/>
  </cellXfs>
  <cellStyles count="1"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2" formatCode="0.00"/>
    </dxf>
    <dxf>
      <numFmt numFmtId="2" formatCode="0.00"/>
    </dxf>
    <dxf>
      <numFmt numFmtId="2" formatCode="0.00"/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2">
    <tableStyle name="02_2025-style" pivot="0" count="3" xr9:uid="{645958AE-C568-4E87-ADF2-A98E7901AC18}">
      <tableStyleElement type="headerRow" dxfId="25"/>
      <tableStyleElement type="firstRowStripe" dxfId="24"/>
      <tableStyleElement type="secondRowStripe" dxfId="23"/>
    </tableStyle>
    <tableStyle name="12_2024-style" pivot="0" count="3" xr9:uid="{00000000-0011-0000-FFFF-FFFF00000000}">
      <tableStyleElement type="headerRow" dxfId="22"/>
      <tableStyleElement type="firstRowStripe" dxfId="21"/>
      <tableStyleElement type="secondRowStripe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pivotCacheDefinition" Target="pivotCache/pivotCacheDefinition10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pivotCacheDefinition" Target="pivotCache/pivotCacheDefinition9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8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7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6.xml"/><Relationship Id="rId27" Type="http://schemas.openxmlformats.org/officeDocument/2006/relationships/pivotCacheDefinition" Target="pivotCache/pivotCacheDefinition11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Parcelas Pendentes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Resumo!$B$1</c:f>
              <c:strCache>
                <c:ptCount val="1"/>
                <c:pt idx="0">
                  <c:v>Total Pendente</c:v>
                </c:pt>
              </c:strCache>
            </c:strRef>
          </c:tx>
          <c:marker>
            <c:symbol val="none"/>
          </c:marker>
          <c:cat>
            <c:strRef>
              <c:f>Resumo!$A$2:$A$7</c:f>
              <c:strCache>
                <c:ptCount val="6"/>
                <c:pt idx="0">
                  <c:v>07_2025</c:v>
                </c:pt>
                <c:pt idx="1">
                  <c:v>08_2025</c:v>
                </c:pt>
                <c:pt idx="2">
                  <c:v>09_2025</c:v>
                </c:pt>
                <c:pt idx="3">
                  <c:v>10_2025</c:v>
                </c:pt>
                <c:pt idx="4">
                  <c:v>11_2025</c:v>
                </c:pt>
                <c:pt idx="5">
                  <c:v>12_2025</c:v>
                </c:pt>
              </c:strCache>
            </c:strRef>
          </c:cat>
          <c:val>
            <c:numRef>
              <c:f>Resumo!$B$2:$B$7</c:f>
              <c:numCache>
                <c:formatCode>\R"$"\ #,##0.00</c:formatCode>
                <c:ptCount val="6"/>
                <c:pt idx="0">
                  <c:v>5496.9594761904773</c:v>
                </c:pt>
                <c:pt idx="1">
                  <c:v>4110.9136428571428</c:v>
                </c:pt>
                <c:pt idx="2">
                  <c:v>3107.1103095238095</c:v>
                </c:pt>
                <c:pt idx="3">
                  <c:v>2626.116809523809</c:v>
                </c:pt>
                <c:pt idx="4">
                  <c:v>2017.3530595238096</c:v>
                </c:pt>
                <c:pt idx="5">
                  <c:v>1546.5142499999999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5B-4071-B23D-40012F38F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2380463"/>
        <c:axId val="1342386223"/>
      </c:lineChart>
      <c:catAx>
        <c:axId val="1342380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Mês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2386223"/>
        <c:crosses val="autoZero"/>
        <c:auto val="1"/>
        <c:lblAlgn val="ctr"/>
        <c:lblOffset val="100"/>
        <c:noMultiLvlLbl val="0"/>
      </c:catAx>
      <c:valAx>
        <c:axId val="13423862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Valor Total (R$)</a:t>
                </a:r>
              </a:p>
            </c:rich>
          </c:tx>
          <c:overlay val="0"/>
        </c:title>
        <c:numFmt formatCode="\R&quot;$&quot;\ #,##0.00" sourceLinked="1"/>
        <c:majorTickMark val="out"/>
        <c:minorTickMark val="none"/>
        <c:tickLblPos val="nextTo"/>
        <c:crossAx val="13423804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Acumulado de Parcelas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Resumo!$B$1</c:f>
              <c:strCache>
                <c:ptCount val="1"/>
                <c:pt idx="0">
                  <c:v>Total Pendente</c:v>
                </c:pt>
              </c:strCache>
            </c:strRef>
          </c:tx>
          <c:marker>
            <c:symbol val="none"/>
          </c:marker>
          <c:cat>
            <c:strRef>
              <c:f>Resumo!$A$2:$A$7</c:f>
              <c:strCache>
                <c:ptCount val="6"/>
                <c:pt idx="0">
                  <c:v>07_2025</c:v>
                </c:pt>
                <c:pt idx="1">
                  <c:v>08_2025</c:v>
                </c:pt>
                <c:pt idx="2">
                  <c:v>09_2025</c:v>
                </c:pt>
                <c:pt idx="3">
                  <c:v>10_2025</c:v>
                </c:pt>
                <c:pt idx="4">
                  <c:v>11_2025</c:v>
                </c:pt>
                <c:pt idx="5">
                  <c:v>12_2025</c:v>
                </c:pt>
              </c:strCache>
            </c:strRef>
          </c:cat>
          <c:val>
            <c:numRef>
              <c:f>Resumo!$B$2:$B$7</c:f>
              <c:numCache>
                <c:formatCode>\R"$"\ #,##0.00</c:formatCode>
                <c:ptCount val="6"/>
                <c:pt idx="0">
                  <c:v>5496.9594761904773</c:v>
                </c:pt>
                <c:pt idx="1">
                  <c:v>4110.9136428571428</c:v>
                </c:pt>
                <c:pt idx="2">
                  <c:v>3107.1103095238095</c:v>
                </c:pt>
                <c:pt idx="3">
                  <c:v>2626.116809523809</c:v>
                </c:pt>
                <c:pt idx="4">
                  <c:v>2017.3530595238096</c:v>
                </c:pt>
                <c:pt idx="5">
                  <c:v>1546.5142499999999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1-4F79-890D-4E0EEF49B31F}"/>
            </c:ext>
          </c:extLst>
        </c:ser>
        <c:ser>
          <c:idx val="1"/>
          <c:order val="1"/>
          <c:tx>
            <c:strRef>
              <c:f>Resumo!$C$1</c:f>
              <c:strCache>
                <c:ptCount val="1"/>
                <c:pt idx="0">
                  <c:v>Total Acumulado</c:v>
                </c:pt>
              </c:strCache>
            </c:strRef>
          </c:tx>
          <c:marker>
            <c:symbol val="none"/>
          </c:marker>
          <c:cat>
            <c:strRef>
              <c:f>Resumo!$A$2:$A$7</c:f>
              <c:strCache>
                <c:ptCount val="6"/>
                <c:pt idx="0">
                  <c:v>07_2025</c:v>
                </c:pt>
                <c:pt idx="1">
                  <c:v>08_2025</c:v>
                </c:pt>
                <c:pt idx="2">
                  <c:v>09_2025</c:v>
                </c:pt>
                <c:pt idx="3">
                  <c:v>10_2025</c:v>
                </c:pt>
                <c:pt idx="4">
                  <c:v>11_2025</c:v>
                </c:pt>
                <c:pt idx="5">
                  <c:v>12_2025</c:v>
                </c:pt>
              </c:strCache>
            </c:strRef>
          </c:cat>
          <c:val>
            <c:numRef>
              <c:f>Resumo!$C$2:$C$7</c:f>
              <c:numCache>
                <c:formatCode>\R"$"\ #,##0.00</c:formatCode>
                <c:ptCount val="6"/>
                <c:pt idx="0">
                  <c:v>17358.453300000001</c:v>
                </c:pt>
                <c:pt idx="1">
                  <c:v>11861.4938</c:v>
                </c:pt>
                <c:pt idx="2">
                  <c:v>7750.5802000000003</c:v>
                </c:pt>
                <c:pt idx="3">
                  <c:v>4643.4699000000001</c:v>
                </c:pt>
                <c:pt idx="4">
                  <c:v>2017.3531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1-4F79-890D-4E0EEF49B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2366543"/>
        <c:axId val="1342364143"/>
      </c:lineChart>
      <c:catAx>
        <c:axId val="13423665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Mês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42364143"/>
        <c:crosses val="autoZero"/>
        <c:auto val="1"/>
        <c:lblAlgn val="ctr"/>
        <c:lblOffset val="100"/>
        <c:noMultiLvlLbl val="0"/>
      </c:catAx>
      <c:valAx>
        <c:axId val="134236414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Valor Total (R$)</a:t>
                </a:r>
              </a:p>
            </c:rich>
          </c:tx>
          <c:overlay val="0"/>
        </c:title>
        <c:numFmt formatCode="\R&quot;$&quot;\ #,##0.00" sourceLinked="1"/>
        <c:majorTickMark val="out"/>
        <c:minorTickMark val="none"/>
        <c:tickLblPos val="nextTo"/>
        <c:crossAx val="13423665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352425</xdr:colOff>
          <xdr:row>1</xdr:row>
          <xdr:rowOff>152400</xdr:rowOff>
        </xdr:from>
        <xdr:to>
          <xdr:col>10</xdr:col>
          <xdr:colOff>247650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82550</xdr:colOff>
      <xdr:row>7</xdr:row>
      <xdr:rowOff>130175</xdr:rowOff>
    </xdr:from>
    <xdr:to>
      <xdr:col>10</xdr:col>
      <xdr:colOff>180975</xdr:colOff>
      <xdr:row>27</xdr:row>
      <xdr:rowOff>130175</xdr:rowOff>
    </xdr:to>
    <xdr:graphicFrame macro="">
      <xdr:nvGraphicFramePr>
        <xdr:cNvPr id="2" name="Grafico_Pendentes">
          <a:extLst>
            <a:ext uri="{FF2B5EF4-FFF2-40B4-BE49-F238E27FC236}">
              <a16:creationId xmlns:a16="http://schemas.microsoft.com/office/drawing/2014/main" id="{F9BF7C98-1F62-D822-0845-AAD106C35E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206375</xdr:colOff>
      <xdr:row>7</xdr:row>
      <xdr:rowOff>130175</xdr:rowOff>
    </xdr:from>
    <xdr:to>
      <xdr:col>18</xdr:col>
      <xdr:colOff>409575</xdr:colOff>
      <xdr:row>27</xdr:row>
      <xdr:rowOff>130175</xdr:rowOff>
    </xdr:to>
    <xdr:graphicFrame macro="">
      <xdr:nvGraphicFramePr>
        <xdr:cNvPr id="5" name="Grafico_Acumulado">
          <a:extLst>
            <a:ext uri="{FF2B5EF4-FFF2-40B4-BE49-F238E27FC236}">
              <a16:creationId xmlns:a16="http://schemas.microsoft.com/office/drawing/2014/main" id="{059B76A9-1162-A20E-78F7-D39D3EE90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0</xdr:row>
          <xdr:rowOff>114300</xdr:rowOff>
        </xdr:from>
        <xdr:to>
          <xdr:col>7</xdr:col>
          <xdr:colOff>190500</xdr:colOff>
          <xdr:row>2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gráficos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721.389851967593" createdVersion="8" refreshedVersion="8" minRefreshableVersion="3" recordCount="120" xr:uid="{0FB9159C-AD6F-42E3-A14F-A72971A89B09}">
  <cacheSource type="worksheet">
    <worksheetSource name="Table_13"/>
  </cacheSource>
  <cacheFields count="7">
    <cacheField name="Title" numFmtId="0">
      <sharedItems containsBlank="1" count="104">
        <s v="Complemento doacoes"/>
        <s v="Uber"/>
        <s v="Almoco Bosch"/>
        <s v="Toalha batizado"/>
        <s v="Farmácia "/>
        <s v="Galão d'água "/>
        <s v="Localiza (1/3)"/>
        <s v="Rosquinhas amamentacao"/>
        <s v="Gasolina "/>
        <s v="Farmácia - fio dental "/>
        <s v="Farmácia - bebel "/>
        <s v="Craft bakery"/>
        <s v="Mamadeira Bebel (1/2)"/>
        <s v="Capinha Celular "/>
        <s v="Roupas Maria (1/6)"/>
        <s v="Pao de açúcar "/>
        <s v="Barrinhas "/>
        <s v="Farmácia - Remédio bebel "/>
        <s v="Seringas Bebel"/>
        <s v="Roupas "/>
        <s v="Sorvete Bosch "/>
        <s v="Almoço Bosch "/>
        <s v="Kindle unlimited"/>
        <s v="Mundo verde (1/2)"/>
        <s v="eduzz? (1/5)"/>
        <s v="Pão de Açúcar "/>
        <s v="Xô febre "/>
        <s v="Bolo bebel"/>
        <s v="Farmácia"/>
        <s v="Estacionamento "/>
        <s v="Napper"/>
        <s v="Farmacia"/>
        <s v="Escorredor louca Bebel (1/6)"/>
        <s v="Oxxo"/>
        <s v="Torneira"/>
        <s v="Farmacia - Suplemento Leite"/>
        <s v="Receitas Doces (1/5)"/>
        <s v="Chupeta e mamadeira"/>
        <s v="Livros Cedet (1/6)"/>
        <s v="Fraldas (1/2)"/>
        <s v="Gasolina"/>
        <s v="Sorvete the soft"/>
        <s v="Zero trigo "/>
        <s v="Food to save "/>
        <s v="Uber claudia"/>
        <s v="Centro Dom bosco"/>
        <s v="Costureira"/>
        <s v="Farmacia - chupeta"/>
        <s v="Brechó"/>
        <s v="Tapete Bebel"/>
        <s v="Brinco Bebel"/>
        <s v="Mercado livre blackout"/>
        <s v="Mundo verde chas"/>
        <s v="Suplementos (creatina, vit C) (1/5)"/>
        <s v="Fraldas (1/5)"/>
        <s v="Curso colo ao berco"/>
        <s v="Esmaltes farmacia"/>
        <s v="Food to save"/>
        <s v="RX RUN"/>
        <s v="Dizimo"/>
        <s v="Gympass"/>
        <s v="Arautos"/>
        <s v="Luz "/>
        <s v="Caixinha ap"/>
        <s v="Adiantamento Mck"/>
        <s v="Adiantamento Bosch"/>
        <s v="Holy Family"/>
        <s v="Opus Dei"/>
        <s v="Apple icloud"/>
        <s v="Aluguel"/>
        <s v="Condominio"/>
        <s v="Internet"/>
        <s v="Gas"/>
        <s v="Salario Bosch"/>
        <s v="Salario Mck"/>
        <s v="Lumine"/>
        <s v="Farmácia (3/3)"/>
        <s v="Wine (3/12)"/>
        <s v="Tapete mesversario (3/5)"/>
        <s v="Farmácia - fraldas (3/3)"/>
        <s v="Farmácia - remédio Bebel (3/3)"/>
        <s v="Curso Bebê Dorminhoco (3/12)"/>
        <s v="Roupas Agorasoumae (3/6)"/>
        <s v="Farmacia - Raia (2/3)"/>
        <s v="Seguro Carro (3/10)"/>
        <s v="Relógio Maria (3/8)"/>
        <s v="Farmacia - Cha (2/3)"/>
        <s v="Esterilizador bebel (2/6)"/>
        <s v="Comidas zero latte (2/3)"/>
        <s v="Farmácia fórmula (2/3)"/>
        <s v="Mundo verde (2/4)"/>
        <s v="Leiturinha (2/12)"/>
        <s v="Amazon - bepantol (2/2)"/>
        <s v="Sling/babador (2/2)"/>
        <s v="Suplementos amamentacao (2/3)"/>
        <s v="Mundo verde (2/3)"/>
        <s v="Farmacia (hipoglos, fralda) (2/3)"/>
        <s v="Algodões Bebel (2/6)"/>
        <s v="dio - assinatura (2/12)"/>
        <s v="Agorasoumae (2/6)"/>
        <s v="Amazon - fraldas e hidratante (2/2)"/>
        <s v="Farmacia (formula, colic calm) (2/3)"/>
        <s v="Suplementos manipulados (2/4)"/>
        <m u="1"/>
      </sharedItems>
    </cacheField>
    <cacheField name="Amount" numFmtId="0">
      <sharedItems containsSemiMixedTypes="0" containsString="0" containsNumber="1" minValue="2.94" maxValue="6261"/>
    </cacheField>
    <cacheField name="Transaction" numFmtId="0">
      <sharedItems/>
    </cacheField>
    <cacheField name="Category" numFmtId="0">
      <sharedItems containsBlank="1" count="15">
        <s v="Donations"/>
        <s v="Transport"/>
        <s v="Restaurants &amp; Bars"/>
        <s v="Baby"/>
        <s v="Healthcare"/>
        <s v="Groceries"/>
        <s v="Carro"/>
        <s v="Shopping"/>
        <s v="Assinaturas"/>
        <s v="Casa"/>
        <s v="Incomes"/>
        <s v="Fitness"/>
        <s v="Rent &amp; Charges"/>
        <s v="Apartamento"/>
        <m u="1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05-18T00:00:00" maxDate="2025-03-01T00:00:00"/>
    </cacheField>
    <cacheField name="Column1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747.412614583336" createdVersion="8" refreshedVersion="8" minRefreshableVersion="3" recordCount="145" xr:uid="{5D452A46-0D66-4936-8A9A-3AC0EE91A366}">
  <cacheSource type="worksheet">
    <worksheetSource name="Table_14"/>
  </cacheSource>
  <cacheFields count="7">
    <cacheField name="Title" numFmtId="0">
      <sharedItems containsBlank="1" count="107">
        <s v="Uber"/>
        <s v="RX RUN"/>
        <s v="Dizimo"/>
        <s v="Gympass"/>
        <s v="Arautos"/>
        <s v="Luz "/>
        <s v="Caixinha ap"/>
        <s v="Adiantamento Mck"/>
        <s v="Adiantamento Bosch"/>
        <s v="Holy Family"/>
        <s v="Opus Dei"/>
        <s v="Apple icloud"/>
        <s v="Aluguel"/>
        <s v="Condominio"/>
        <s v="Internet"/>
        <s v="Gas"/>
        <s v="Salario Bosch"/>
        <s v="Salario Mck"/>
        <s v="Lumine"/>
        <s v="Wine (4/12)"/>
        <s v="Tapete mesversario (4/5)"/>
        <s v="Roupas Agorasoumae (4/6)"/>
        <s v="Farmacia - Raia (3/3)"/>
        <s v="Seguro Carro (4/10)"/>
        <s v="Relógio Maria (4/8)"/>
        <s v="Farmacia - Cha (3/3)"/>
        <s v="Esterilizador bebel (3/6)"/>
        <s v="Comidas zero latte (3/3)"/>
        <s v="Farmácia fórmula (3/3)"/>
        <s v="Mundo verde (3/4)"/>
        <s v="Leiturinha (3/12)"/>
        <s v="Suplementos amamentacao (3/3)"/>
        <s v="Mundo verde (3/3)"/>
        <s v="Farmacia (hipoglos, fralda) (3/3)"/>
        <s v="Algodões Bebel (3/6)"/>
        <s v="dio - assinatura (3/12)"/>
        <s v="Agorasoumae (3/6)"/>
        <s v="Farmacia (formula, colic calm) (3/3)"/>
        <s v="Suplementos manipulados (3/4)"/>
        <s v="Suplementos (creatina, vit C) (2/5)"/>
        <s v="Fraldas (2/5)"/>
        <s v="Fraldas (2/2)"/>
        <s v="Livros Cedet (2/6)"/>
        <s v="Receitas Doces (2/5)"/>
        <s v="Escorredor louca Bebel (2/6)"/>
        <s v="eduzz? (2/5)"/>
        <s v="Mundo verde (2/2)"/>
        <s v="Roupas Maria (2/6)"/>
        <s v="Mamadeira Bebel (2/2)"/>
        <s v="Galão dagua"/>
        <s v="Echope"/>
        <s v="Food to save"/>
        <s v="Hotel pe Eraldo"/>
        <s v="Farmacia - Zoloft"/>
        <s v="Farmacia - manipulados"/>
        <s v="Doces"/>
        <s v="Omega 3 "/>
        <s v="Amazon - tapete Bebel"/>
        <s v="Amazon - produtos cabelo"/>
        <s v="Oba"/>
        <s v="Pizza Braz"/>
        <s v="Netshoes - whey"/>
        <s v="Cabelo - paisagismo"/>
        <s v="Bolo Batizado"/>
        <s v="Sobrancelha"/>
        <s v="Farmacia "/>
        <s v="Centro Dom Bosco"/>
        <s v="Galao dagua"/>
        <s v="Bolo Bebel"/>
        <s v="Farmacia - esparadrapo e barrinha"/>
        <s v="Poke"/>
        <s v="Tortas"/>
        <s v="Estacionamento"/>
        <s v="Mamadeiras Bebel"/>
        <s v="Luz Algarve"/>
        <s v="Napper"/>
        <s v="Unhas"/>
        <s v="Bolo"/>
        <s v="Item tia Valeria"/>
        <s v="Amazon (livros)"/>
        <s v="Amazon (suplementos)"/>
        <s v="Pastel"/>
        <s v="Oleo essencial"/>
        <s v="Farmacia"/>
        <s v="Mana Poke"/>
        <s v="Kindle Unlimited"/>
        <s v="Cesto Bebel"/>
        <s v="Cadeirinha"/>
        <s v="Pao de acucar"/>
        <s v="Gasolina oficina"/>
        <s v="Gasolina"/>
        <s v="Renner"/>
        <s v="Oculos de sol"/>
        <s v="Cachorro quente"/>
        <s v="Craft Bakery"/>
        <s v="Papelaria"/>
        <s v="Crocs Maria"/>
        <s v="Hot dog"/>
        <s v="Gazeta do Povo"/>
        <s v="Tim Baker"/>
        <s v="Shorts Maria"/>
        <s v="Zara"/>
        <s v="Cafe Vantu"/>
        <s v="Canguru"/>
        <s v="Doacao Associacao Divina Misericordia"/>
        <s v="Doacao Complemento - Divina Misericordia"/>
        <m u="1"/>
      </sharedItems>
    </cacheField>
    <cacheField name="Amount" numFmtId="0">
      <sharedItems containsSemiMixedTypes="0" containsString="0" containsNumber="1" minValue="1.69" maxValue="5710.37"/>
    </cacheField>
    <cacheField name="Transaction" numFmtId="0">
      <sharedItems/>
    </cacheField>
    <cacheField name="Category" numFmtId="0">
      <sharedItems containsBlank="1" count="16">
        <s v="Transport"/>
        <s v="Fitness"/>
        <s v="Donations"/>
        <s v="Rent &amp; Charges"/>
        <s v="Apartamento"/>
        <s v="Incomes"/>
        <s v="Assinaturas"/>
        <s v="Groceries"/>
        <s v="Baby"/>
        <s v="Shopping"/>
        <s v="Healthcare"/>
        <s v="Carro"/>
        <s v="Casa"/>
        <s v="Restaurants &amp; Bars"/>
        <s v="Beauty"/>
        <m u="1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05-18T00:00:00" maxDate="2025-04-0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782.37601550926" createdVersion="8" refreshedVersion="8" minRefreshableVersion="3" recordCount="130" xr:uid="{F9A54C41-F9B8-426A-AB6D-1D42707DCC48}">
  <cacheSource type="worksheet">
    <worksheetSource name="Table_15"/>
  </cacheSource>
  <cacheFields count="7">
    <cacheField name="Title" numFmtId="0">
      <sharedItems count="100">
        <s v="RX RUN"/>
        <s v="Dizimo"/>
        <s v="Gympass"/>
        <s v="Arautos"/>
        <s v="Luz"/>
        <s v="Caixinha ap"/>
        <s v="Adiantamento Mck"/>
        <s v="Adiantamento Bosch"/>
        <s v="Holy Family"/>
        <s v="Opus Dei"/>
        <s v="Apple icloud"/>
        <s v="Gazeta do povo"/>
        <s v="Aluguel"/>
        <s v="Condominio"/>
        <s v="Internet"/>
        <s v="Gas"/>
        <s v="Salario Bosch"/>
        <s v="Salario Mck"/>
        <s v="Lumine"/>
        <s v="Wine"/>
        <s v="Tapete mesversario "/>
        <s v="Roupas Agorasoumae "/>
        <s v="Seguro Carro "/>
        <s v="Relógio Maria "/>
        <s v="Esterilizador bebel "/>
        <s v="Mundo verde "/>
        <s v="Leiturinha "/>
        <s v="Algodões Bebel "/>
        <s v="dio - assinatura "/>
        <s v="Agorasoumae "/>
        <s v="Suplementos manipulados"/>
        <s v="Suplementos (creatina, vit C)"/>
        <s v="Fraldas"/>
        <s v="Livros Cedet"/>
        <s v="Receitas Doces"/>
        <s v="Escorredor louca Bebel"/>
        <s v="eduzz? "/>
        <s v="Roupas Maria"/>
        <s v="Hotel pe Eraldo"/>
        <s v="Farmacia - manipulados"/>
        <s v="Omega 3 "/>
        <s v="Amazon - tapete Bebel"/>
        <s v="Amazon - produtos cabelo"/>
        <s v="Netshoes - whey"/>
        <s v="Amazon (livros)"/>
        <s v="Amazon (suplementos)"/>
        <s v="Cesto Bebel"/>
        <s v="Cadeirinha"/>
        <s v="Renner"/>
        <s v="Farmacia"/>
        <s v="Crocs Maria"/>
        <s v="Canguru"/>
        <s v="Seringas"/>
        <s v="Agua"/>
        <s v="Correio Canguru"/>
        <s v="Previna"/>
        <s v="Sobrancelha"/>
        <s v="Tim Baker"/>
        <s v="Casa de bolos"/>
        <s v="Kalunga - caixas"/>
        <s v="Amazon - Creatina"/>
        <s v="Amazon - Suplementos"/>
        <s v="Centro Dom bosco"/>
        <s v="Uber"/>
        <s v="Amazon (espelho carro)"/>
        <s v="Fotos Bebel"/>
        <s v="Liberacao Miofascil"/>
        <s v="Cafe Poupatempo"/>
        <s v="Xerox"/>
        <s v="Unha"/>
        <s v="Gasolina"/>
        <s v="Frango assado "/>
        <s v="Estacionamento RJ"/>
        <s v="Pedagio"/>
        <s v="Maguje"/>
        <s v="Napper"/>
        <s v="Sucos RJ"/>
        <s v="Bolo"/>
        <s v="Café posto"/>
        <s v="Bar da barata"/>
        <s v="Cookies Friburgo"/>
        <s v="Testes gravidez"/>
        <s v="Luz Algarve"/>
        <s v="Cafe Estrada"/>
        <s v="Exame Fleury beta"/>
        <s v="Azahar - presente Maria"/>
        <s v="Storage"/>
        <s v="Kalunga "/>
        <s v="Localiza"/>
        <s v="Pao de acucar"/>
        <s v="430 Pizza"/>
        <s v="Alo bebe"/>
        <s v="Bacio di Latte"/>
        <s v="O Burgues"/>
        <s v="Zinco Bebel"/>
        <s v="Omega 3 e Vitaminas"/>
        <s v="Doacao"/>
        <s v="Pintura Ap Maria Cristina"/>
        <s v="Oxxo"/>
        <s v="Bombons"/>
      </sharedItems>
    </cacheField>
    <cacheField name="Amount" numFmtId="2">
      <sharedItems containsString="0" containsBlank="1" containsNumber="1" minValue="3.22" maxValue="5710.37"/>
    </cacheField>
    <cacheField name="Transaction" numFmtId="0">
      <sharedItems/>
    </cacheField>
    <cacheField name="Category" numFmtId="0">
      <sharedItems count="16">
        <s v="Fitness"/>
        <s v="Donations"/>
        <s v="Rent &amp; Charges"/>
        <s v="Apartamento"/>
        <s v="Incomes"/>
        <s v="Assinaturas"/>
        <s v="Groceries"/>
        <s v="Baby"/>
        <s v="Shopping"/>
        <s v="Carro"/>
        <s v="Healthcare"/>
        <s v="Casa"/>
        <s v="Beauty"/>
        <s v="Restaurants &amp; Bars"/>
        <s v="Transport"/>
        <s v="Viagem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12-03T00:00:00" maxDate="2025-05-19T00:00:00"/>
    </cacheField>
    <cacheField name="Parcel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13.680355092591" createdVersion="8" refreshedVersion="8" minRefreshableVersion="3" recordCount="163" xr:uid="{B33F216A-DF97-4663-8602-FE213990CB8D}">
  <cacheSource type="worksheet">
    <worksheetSource name="Table_16"/>
  </cacheSource>
  <cacheFields count="7">
    <cacheField name="Title" numFmtId="0">
      <sharedItems count="131">
        <s v="Wine (6/12)"/>
        <s v="Relógio Maria (6/8)"/>
        <s v="Roupas Agorasoumae (6/6)"/>
        <s v="Seguro Carro (6/10)"/>
        <s v="Esterilizador bebel (5/6)"/>
        <s v="Leiturinha (5/12)"/>
        <s v="Algodões Bebel (5/6)"/>
        <s v="dio - assinatura (5/12)"/>
        <s v="Agorasoumae (5/6)"/>
        <s v="Suplementos (creatina, vit C) (4/5)"/>
        <s v="Fraldas (4/5)"/>
        <s v="Livros Cedet (4/6)"/>
        <s v="Receitas Doces (4/5)"/>
        <s v="Escorredor louca Bebel (4/6)"/>
        <s v="eduzz? (4/5)"/>
        <s v="Roupas Maria (4/6)"/>
        <s v="Hotel pe Eraldo"/>
        <s v="Farmacia - manipulados"/>
        <s v="Omega 3 "/>
        <s v="Amazon - tapete Bebel"/>
        <s v="Amazon - produtos cabelo"/>
        <s v="Netshoes - whey"/>
        <s v="Amazon (livros)"/>
        <s v="Amazon (suplementos)"/>
        <s v="Cesto Bebel"/>
        <s v="Cadeirinha"/>
        <s v="Renner"/>
        <s v="Crocs Maria"/>
        <s v="Canguru"/>
        <s v="Kalunga - caixas"/>
        <s v="Amazon - Creatina"/>
        <s v="Amazon - Suplementos"/>
        <s v="Amazon (espelho carro)"/>
        <s v="Azahar - presente Maria"/>
        <s v="Kalunga "/>
        <s v="Omega 3 e Vitaminas"/>
        <s v="City tortas"/>
        <s v="Cafe D.Origem"/>
        <s v="Farmacia - Formula"/>
        <s v="Pao de acucar"/>
        <s v="Material pintura AP"/>
        <s v="Brinquedos Bebel"/>
        <s v="RX RUN"/>
        <s v="Dizimo"/>
        <s v="Tintas pintura AP"/>
        <s v="Café Maritaka"/>
        <s v="Agua de coco"/>
        <s v="Gympass"/>
        <s v="Galao dagua"/>
        <s v="Gasolina"/>
        <s v="Centro Dom Bosco"/>
        <s v="Uber"/>
        <s v="Sobrancelha"/>
        <s v="LalaMove"/>
        <s v="Aquecedor Mamadeiras"/>
        <s v="Costureira"/>
        <s v="Café com Claudia"/>
        <s v="Café Posto"/>
        <s v="Lavagem carro"/>
        <s v="Arautos"/>
        <s v="Flores Maria"/>
        <s v="Café D.Origem"/>
        <s v="Ifood club"/>
        <s v="Pizza 430"/>
        <s v="Doacao Igreja"/>
        <s v="Laura e Francesco"/>
        <s v="Churrasco Bosch"/>
        <s v="Caixinha ap"/>
        <s v="Adiantamento Mck"/>
        <s v="Adiantamento Bosch"/>
        <s v="Holy Family"/>
        <s v="Lumine"/>
        <s v="Opus Dei"/>
        <s v="Apple icloud"/>
        <s v="Gazeta do povo"/>
        <s v="Condominio"/>
        <s v="Internet"/>
        <s v="Gas"/>
        <s v="Salario Bosch"/>
        <s v="Salario Mck"/>
        <s v="Salario Woodmack"/>
        <s v="Hope biquini"/>
        <s v="Cocas"/>
        <s v="Amazon- tomadas"/>
        <s v="Pix claudia"/>
        <s v="Napper"/>
        <s v="&quot;Primus&quot;"/>
        <s v="Previna - Xo Febre"/>
        <s v="Farmacia"/>
        <s v="Agua"/>
        <s v="Bolo Bebel"/>
        <s v="Pedagio"/>
        <s v="Drogasil "/>
        <s v="Envelope"/>
        <s v="Bebidas lacteas"/>
        <s v="Tortas"/>
        <s v="Maria Antonieta"/>
        <s v="Cervejas"/>
        <s v="Kindle Unlmtd"/>
        <s v="Luz Algarve"/>
        <s v="Grafica"/>
        <s v="Farmacia (Formula)"/>
        <s v="Vitaminas Cabelo"/>
        <s v="Starbucks"/>
        <s v="Oba"/>
        <s v="Farmacia - Colirio"/>
        <s v="Sukiya Bosch"/>
        <s v="Vitaminas e suplementos Luiz"/>
        <s v="Jusbrasil"/>
        <s v="Restaurante Fazenda"/>
        <s v="Farmacia Zoloft"/>
        <s v="Estacionamento"/>
        <s v="Conserto pneu"/>
        <s v="Agua viagem"/>
        <s v="Amazon - sacos leite"/>
        <s v="Farmacia - Alicate"/>
        <s v="Vivo"/>
        <s v="Almoco Woodmac"/>
        <s v="AI Photos"/>
        <s v="Gran coffee"/>
        <s v="Tenis Redley"/>
        <s v="Bolsa Termica Leite"/>
        <s v="Zona sul"/>
        <s v="Petiscos Barto"/>
        <s v="Uber RJ"/>
        <s v="Boa Praca Leblon"/>
        <s v="Azul Linhas Br3u9b"/>
        <s v="Azul Linhas oe8pxb"/>
        <s v="Babá"/>
        <s v="Amazon - protetor ouvido" u="1"/>
        <s v="Luz (prov)" u="1"/>
      </sharedItems>
    </cacheField>
    <cacheField name="Amount" numFmtId="2">
      <sharedItems containsSemiMixedTypes="0" containsString="0" containsNumber="1" minValue="1.9" maxValue="5710.37"/>
    </cacheField>
    <cacheField name="Transaction" numFmtId="0">
      <sharedItems/>
    </cacheField>
    <cacheField name="Category" numFmtId="0">
      <sharedItems count="17">
        <s v="Groceries"/>
        <s v="Shopping"/>
        <s v="Carro"/>
        <s v="Baby"/>
        <s v="Assinaturas"/>
        <s v="Healthcare"/>
        <s v="Casa"/>
        <s v="Fitness"/>
        <s v="Restaurants &amp; Bars"/>
        <s v="Donations"/>
        <s v="Transport"/>
        <s v="Beauty"/>
        <s v="Apartamento"/>
        <s v="Incomes"/>
        <s v="Rent &amp; Charges"/>
        <s v="Viagem"/>
        <s v="Viagem RJ/VCP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12-03T00:00:00" maxDate="2025-06-0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55.725345949075" createdVersion="8" refreshedVersion="8" minRefreshableVersion="3" recordCount="170" xr:uid="{482614E2-EFD4-4F14-9503-7FCF9C452FE6}">
  <cacheSource type="worksheet">
    <worksheetSource name="Table_17"/>
  </cacheSource>
  <cacheFields count="7">
    <cacheField name="Title" numFmtId="0">
      <sharedItems count="151">
        <s v="RX RUN"/>
        <s v="Dizimo"/>
        <s v="Gympass"/>
        <s v="Caixinha ap"/>
        <s v="Adiantamento Bosch"/>
        <s v="Holy Family"/>
        <s v="Opus Dei"/>
        <s v="Apple icloud"/>
        <s v="Gazeta do povo"/>
        <s v="Condominio"/>
        <s v="Internet"/>
        <s v="Agua"/>
        <s v="Gas"/>
        <s v="Salario Bosch"/>
        <s v="Salario Woodmac"/>
        <s v="Wine"/>
        <s v="Seguro Carro"/>
        <s v="Relógio Maria"/>
        <s v="Esterilizador bebel"/>
        <s v="Leiturinha"/>
        <s v="Algodões Bebel "/>
        <s v="dio - assinatura"/>
        <s v="Agorasoumae"/>
        <s v="Suplementos (creatina, vit C)"/>
        <s v="Fraldas"/>
        <s v="Livros Cedet"/>
        <s v="Receitas Doces"/>
        <s v="Escorredor louca Bebel"/>
        <s v="eduzz? "/>
        <s v="Roupas Maria"/>
        <s v="Hotel pe Eraldo"/>
        <s v="Farmacia - manipulados"/>
        <s v="Amazon - tapete Bebel"/>
        <s v="Amazon - produtos cabelo"/>
        <s v="Netshoes - whey"/>
        <s v="Amazon (livros)"/>
        <s v="Amazon (suplementos)"/>
        <s v="Cesto Bebel"/>
        <s v="Cadeirinha"/>
        <s v="Crocs Maria"/>
        <s v="Amazon - Suplementos"/>
        <s v="Renner"/>
        <s v="Azahar - presente Maria"/>
        <s v="Kalunga - caixas"/>
        <s v="Omega 3 e Vitaminas"/>
        <s v="Farmacia - Formula"/>
        <s v="Brinquedos Bebel"/>
        <s v="Tintas pintura AP"/>
        <s v="Hope biquini"/>
        <s v="Vitaminas Cabelo"/>
        <s v="Azul Linhas Br3u9b"/>
        <s v="Azul Linhas oe8pxb"/>
        <s v="Vitaminas e suplementos Luiz"/>
        <s v="Farmacia Zoloft"/>
        <s v="Tenis Redley"/>
        <s v="Bolsa Termica Leite"/>
        <s v="Gurume"/>
        <s v="Gasolina viagem "/>
        <s v="Uber"/>
        <s v="Protetor ouvido Bebel"/>
        <s v="Amazon - Mamadeiras"/>
        <s v="Tapete Bebel"/>
        <s v="Apple"/>
        <s v="Azul uq3ptk"/>
        <s v="Juarez Gastronomia"/>
        <s v="Drogaria Venancio"/>
        <s v="Pedagio"/>
        <s v="Frogpay"/>
        <s v="Major Paladino"/>
        <s v="Unha"/>
        <s v="Pix Fatima"/>
        <s v="Almoco Gertrudis"/>
        <s v="Feira Cambui"/>
        <s v="Farmacia"/>
        <s v="Agua "/>
        <s v="Materiais de construcao"/>
        <s v="Tampa maquina de lavar"/>
        <s v="Roupa Festa Junina Bebel"/>
        <s v="Passagens Busao"/>
        <s v="Japa delivery"/>
        <s v="Coisa de dente"/>
        <s v="Bicos mamadeira"/>
        <s v="Amazon - Creatina"/>
        <s v="Amazon"/>
        <s v="Leroy "/>
        <s v="Doacao Arautos"/>
        <s v="Niples pia"/>
        <s v="99 cargo"/>
        <s v="Ifood club"/>
        <s v="Gasolina"/>
        <s v="Luz Algarve"/>
        <s v="Leroy"/>
        <s v="Pizza"/>
        <s v="Mary Kay "/>
        <s v="Diana Maria WM"/>
        <s v="Napper"/>
        <s v="Uber Bosch"/>
        <s v="Uber Rodoviaria"/>
        <s v="Lanche rodoviaria"/>
        <s v="Cafe viagem"/>
        <s v="Youtube premium"/>
        <s v="Lavanderia RJ"/>
        <s v="Unhas Maria"/>
        <s v="Presente Julyana"/>
        <s v="Passagem RJ LM7ZFT"/>
        <s v="Passagem RJ BL1LUW"/>
        <s v="Agua de coco"/>
        <s v="Farmacia (formula, copo e chupueta)"/>
        <s v="Brocas Bosch"/>
        <s v="Adelia cafe"/>
        <s v="Farmacia RJ"/>
        <s v="Passagem Rio Bus"/>
        <s v="Farmacia - Remedio Bebel"/>
        <s v="Graal - viagem"/>
        <s v="Almoço Bosch"/>
        <s v="Passagem 123milhas"/>
        <s v="Farmacia - Bicos chupeta"/>
        <s v="Passagem Booking "/>
        <s v="Farmacia - aspirador"/>
        <s v="Liti"/>
        <s v="Janta Marcelo"/>
        <s v="Doacao Igreja NSB"/>
        <s v="Barrinhas Bold"/>
        <s v="Amazon - itens diversos"/>
        <s v="Essential - remedio Bebel"/>
        <s v="Passagem busao RJ "/>
        <s v="Amazon  - aromatizador"/>
        <s v="Jusbrasil"/>
        <s v="Amazon - porta tangerina"/>
        <s v="Copos medela"/>
        <s v="Cadeira alimentacao"/>
        <s v="Algodões Bebel"/>
        <s v="Raia - algodão e soro"/>
        <s v="Mercado livre - cabides"/>
        <s v="Tabua de carne"/>
        <s v="Passagem azul "/>
        <s v="Mil Decor"/>
        <s v="Impermeabilização"/>
        <s v="Carrefour"/>
        <s v="Açougue"/>
        <s v="Drogasil - Otorrino"/>
        <s v="Echope"/>
        <s v="Doacao Igreja"/>
        <s v="Cafe Oficina"/>
        <s v="Babá"/>
        <s v="Pao Vila Paraiso" u="1"/>
        <s v="Amazon - organizadores" u="1"/>
        <s v="Borracharia" u="1"/>
        <s v="Luz (prov)" u="1"/>
        <s v="Adiantamento Mck" u="1"/>
        <s v="Salario Mck" u="1"/>
      </sharedItems>
    </cacheField>
    <cacheField name="Amount" numFmtId="2">
      <sharedItems containsSemiMixedTypes="0" containsString="0" containsNumber="1" minValue="5.88" maxValue="16071.11"/>
    </cacheField>
    <cacheField name="Transaction" numFmtId="0">
      <sharedItems/>
    </cacheField>
    <cacheField name="Category" numFmtId="0">
      <sharedItems count="18">
        <s v="Fitness"/>
        <s v="Donations"/>
        <s v="Apartamento"/>
        <s v="Incomes"/>
        <s v="Assinaturas"/>
        <s v="Rent &amp; Charges"/>
        <s v="Groceries"/>
        <s v="Carro"/>
        <s v="Shopping"/>
        <s v="Baby"/>
        <s v="Healthcare"/>
        <s v="Casa"/>
        <s v="Viagem RJ/VCP"/>
        <s v="Restaurants &amp; Bars"/>
        <s v="Viagem"/>
        <s v="Transport"/>
        <s v="Beauty"/>
        <s v="Other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12-03T00:00:00" maxDate="2025-07-0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60.450783449072" createdVersion="8" refreshedVersion="8" minRefreshableVersion="3" recordCount="80" xr:uid="{F06AFC7B-BA23-456C-B5C4-52EC23C4A2F1}">
  <cacheSource type="worksheet">
    <worksheetSource name="Table_189"/>
  </cacheSource>
  <cacheFields count="7">
    <cacheField name="Title" numFmtId="0">
      <sharedItems count="80">
        <s v="RX RUN"/>
        <s v="Dizimo"/>
        <s v="Gympass"/>
        <s v="Luz (prov)"/>
        <s v="Caixinha ap"/>
        <s v="Adiantamento Bosch"/>
        <s v="Holy Family"/>
        <s v="Opus Dei"/>
        <s v="Apple icloud"/>
        <s v="Gazeta do povo"/>
        <s v="Condominio"/>
        <s v="Internet"/>
        <s v="Agua"/>
        <s v="Gas"/>
        <s v="IPTU"/>
        <s v="Salario Bosch"/>
        <s v="Salario Woodmac"/>
        <s v="Diarista"/>
        <s v="Babá"/>
        <s v="Wine"/>
        <s v="Seguro Carro "/>
        <s v="Relógio Maria"/>
        <s v="Leiturinha "/>
        <s v="dio - assinatura"/>
        <s v="Hotel pe Eraldo"/>
        <s v="Amazon (livros)"/>
        <s v="Amazon (suplementos)"/>
        <s v="Cesto Bebel"/>
        <s v="Cadeirinha"/>
        <s v="Crocs Maria"/>
        <s v="Amazon - Suplementos"/>
        <s v="Azahar - presente Maria"/>
        <s v="Omega 3 e Vitaminas"/>
        <s v="Brinquedos Bebel"/>
        <s v="Tintas pintura AP"/>
        <s v="Hope biquini"/>
        <s v="Azul Linhas oe8pxb"/>
        <s v="Vitaminas e suplementos Luiz"/>
        <s v="Tenis Redley"/>
        <s v="Bolsa Termica Leite"/>
        <s v="Amazon - Mamadeiras"/>
        <s v="Drogaria Venancio"/>
        <s v="Azul uq3ptk"/>
        <s v="Farmacia"/>
        <s v="Roupa Festa Junina Bebel"/>
        <s v="Amazon"/>
        <s v="Passagens Busao"/>
        <s v="Passagem RJ LM7ZFT"/>
        <s v="Passagem RJ BL1LUW"/>
        <s v="Farmacia (formula, copo e chupueta)"/>
        <s v="Brocas Bosch"/>
        <s v="Passagem Rio Bus"/>
        <s v="Farmacia - Bicos chupeta"/>
        <s v="Barrinhas Bold"/>
        <s v="Amazon - itens diversos"/>
        <s v="Essential - remedio Bebel"/>
        <s v="Passagem busao RJ "/>
        <s v="Copos medela"/>
        <s v="Cadeira alimentacao"/>
        <s v="Algodões Bebel"/>
        <s v="Passagem azul "/>
        <s v="Mil Decor"/>
        <s v="Coffee mais"/>
        <s v="Amazon - Wap cleaner"/>
        <s v="Farmacia - Formula"/>
        <s v="Swift"/>
        <s v="Adaptaorg"/>
        <s v="Passagem azul (Capo)"/>
        <s v="Passagem Azul NG64HI"/>
        <s v="Colchao Bebel"/>
        <s v="Babá eletronica"/>
        <s v="Farmácia - Fórmula"/>
        <s v="Amazon - brinquedos bebel"/>
        <s v="Amazon- estante depósito"/>
        <s v="Presente Pietro"/>
        <s v="Passagem Busao"/>
        <s v="Clube Azul"/>
        <s v="Brinquedo Bebel"/>
        <s v="Adiantamento Mck" u="1"/>
        <s v="Salario Mck" u="1"/>
      </sharedItems>
    </cacheField>
    <cacheField name="Amount" numFmtId="2">
      <sharedItems containsSemiMixedTypes="0" containsString="0" containsNumber="1" minValue="11.417142857142858" maxValue="16000"/>
    </cacheField>
    <cacheField name="Transaction" numFmtId="0">
      <sharedItems/>
    </cacheField>
    <cacheField name="Category" numFmtId="0">
      <sharedItems count="15">
        <s v="Fitness"/>
        <s v="Donations"/>
        <s v="Rent &amp; Charges"/>
        <s v="Apartamento"/>
        <s v="Incomes"/>
        <s v="Assinaturas"/>
        <s v="Casa"/>
        <s v="Baby"/>
        <s v="Groceries"/>
        <s v="Carro"/>
        <s v="Shopping"/>
        <s v="Healthcare"/>
        <s v="Viagem RJ/VCP"/>
        <s v="Viagem"/>
        <s v="IPTU" u="1"/>
      </sharedItems>
    </cacheField>
    <cacheField name="Paid by" numFmtId="0">
      <sharedItems/>
    </cacheField>
    <cacheField name="Date" numFmtId="14">
      <sharedItems containsSemiMixedTypes="0" containsNonDate="0" containsDate="1" containsString="0" minDate="2024-12-03T00:00:00" maxDate="2025-08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60.451151504632" createdVersion="8" refreshedVersion="8" minRefreshableVersion="3" recordCount="61" xr:uid="{E117D0D5-9A84-47E7-8F58-C460C8A63E32}">
  <cacheSource type="worksheet">
    <worksheetSource name="Table_18910"/>
  </cacheSource>
  <cacheFields count="7">
    <cacheField name="Title" numFmtId="0">
      <sharedItems count="60">
        <s v="RX RUN"/>
        <s v="Dizimo"/>
        <s v="Gympass"/>
        <s v="Luz (prov)"/>
        <s v="Caixinha ap"/>
        <s v="Adiantamento Bosch"/>
        <s v="Holy Family"/>
        <s v="Opus Dei"/>
        <s v="Apple icloud"/>
        <s v="Gazeta do povo"/>
        <s v="Agua"/>
        <s v="Condominio"/>
        <s v="Internet"/>
        <s v="Gas"/>
        <s v="IPTU"/>
        <s v="Salario Bosch"/>
        <s v="Salario Woodmac"/>
        <s v="Diarista"/>
        <s v="Babá"/>
        <s v="Wine"/>
        <s v="Seguro Carro "/>
        <s v="Leiturinha "/>
        <s v="dio - assinatura"/>
        <s v="Hotel pe Eraldo"/>
        <s v="Cesto Bebel"/>
        <s v="Cadeirinha"/>
        <s v="Amazon - Suplementos"/>
        <s v="Azahar - presente Maria"/>
        <s v="Omega 3 e Vitaminas"/>
        <s v="Brinquedos Bebel"/>
        <s v="Tintas pintura AP"/>
        <s v="Vitaminas e suplementos Luiz"/>
        <s v="Tenis Redley"/>
        <s v="Amazon - Mamadeiras"/>
        <s v="Azul Linhas oe8pxb"/>
        <s v="Azul uq3ptk"/>
        <s v="Amazon"/>
        <s v="Passagem RJ LM7ZFT"/>
        <s v="Passagem RJ BL1LUW"/>
        <s v="Brocas Bosch"/>
        <s v="Barrinhas Bold"/>
        <s v="Amazon - itens diversos"/>
        <s v="Essential - remedio Bebel"/>
        <s v="Cadeira alimentacao"/>
        <s v="Algodões Bebel"/>
        <s v="Mil Decor"/>
        <s v="Amazon - Wap cleaner"/>
        <s v="Coffee mais"/>
        <s v="Farmacia - Formula"/>
        <s v="Swift"/>
        <s v="Adaptaorg"/>
        <s v="Passagem azul (Capo)"/>
        <s v="Passagem Azul NG64HI"/>
        <s v="Colchao Bebel"/>
        <s v="Farmácia - Fórmula"/>
        <s v="Amazon - brinquedos bebel"/>
        <s v="Amazon- estante depósito"/>
        <s v="Presente Pietro"/>
        <s v="Passagem Busao"/>
        <s v="Clube Azul"/>
      </sharedItems>
    </cacheField>
    <cacheField name="Amount" numFmtId="2">
      <sharedItems containsSemiMixedTypes="0" containsString="0" containsNumber="1" minValue="11.417142857142858" maxValue="16000"/>
    </cacheField>
    <cacheField name="Transaction" numFmtId="0">
      <sharedItems/>
    </cacheField>
    <cacheField name="Category" numFmtId="0">
      <sharedItems count="14">
        <s v="Fitness"/>
        <s v="Donations"/>
        <s v="Rent &amp; Charges"/>
        <s v="Apartamento"/>
        <s v="Incomes"/>
        <s v="Assinaturas"/>
        <s v="Casa"/>
        <s v="Baby"/>
        <s v="Groceries"/>
        <s v="Carro"/>
        <s v="Shopping"/>
        <s v="Healthcare"/>
        <s v="Viagem RJ/VCP"/>
        <s v="Viagem"/>
      </sharedItems>
    </cacheField>
    <cacheField name="Paid by" numFmtId="0">
      <sharedItems/>
    </cacheField>
    <cacheField name="Date" numFmtId="14">
      <sharedItems containsDate="1" containsMixedTypes="1" minDate="2024-12-03T00:00:00" maxDate="2025-08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60.451443171296" createdVersion="8" refreshedVersion="8" minRefreshableVersion="3" recordCount="51" xr:uid="{8B4F5E0D-7C0B-4CFE-8723-3FFB444043DB}">
  <cacheSource type="worksheet">
    <worksheetSource name="Table_1891011"/>
  </cacheSource>
  <cacheFields count="7">
    <cacheField name="Title" numFmtId="0">
      <sharedItems count="50">
        <s v="RX RUN"/>
        <s v="Dizimo"/>
        <s v="Gympass"/>
        <s v="Luz (prov)"/>
        <s v="Agua"/>
        <s v="Caixinha ap"/>
        <s v="Adiantamento Bosch"/>
        <s v="Holy Family"/>
        <s v="Opus Dei"/>
        <s v="Apple icloud"/>
        <s v="Gazeta do povo"/>
        <s v="Condominio"/>
        <s v="Internet"/>
        <s v="Gas"/>
        <s v="Salario Bosch"/>
        <s v="Salario Woodmac"/>
        <s v="Diarista"/>
        <s v="Babá"/>
        <s v="Wine"/>
        <s v="Seguro Carro "/>
        <s v="Leiturinha "/>
        <s v="dio - assinatura"/>
        <s v="Hotel pe Eraldo"/>
        <s v="Cesto Bebel"/>
        <s v="Cadeirinha"/>
        <s v="Amazon - Suplementos"/>
        <s v="Brinquedos Bebel"/>
        <s v="Tintas pintura AP"/>
        <s v="Vitaminas e suplementos Luiz"/>
        <s v="Amazon - Mamadeiras"/>
        <s v="Azul Linhas oe8pxb"/>
        <s v="Azul uq3ptk"/>
        <s v="Amazon"/>
        <s v="Passagem RJ LM7ZFT"/>
        <s v="Passagem RJ BL1LUW"/>
        <s v="Brocas Bosch"/>
        <s v="Barrinhas Bold"/>
        <s v="Amazon - itens diversos"/>
        <s v="Essential - remedio Bebel"/>
        <s v="Cadeira alimentacao"/>
        <s v="Algodões Bebel"/>
        <s v="Mil Decor"/>
        <s v="Amazon - Wap cleaner"/>
        <s v="Adaptaorg"/>
        <s v="Passagem Azul NG64HI"/>
        <s v="Colchao Bebel"/>
        <s v="Amazon - brinquedos bebel"/>
        <s v="Amazon- estante depósito"/>
        <s v="Presente Pietro"/>
        <s v="Clube Azul"/>
      </sharedItems>
    </cacheField>
    <cacheField name="Amount" numFmtId="2">
      <sharedItems containsSemiMixedTypes="0" containsString="0" containsNumber="1" minValue="11.417142857142858" maxValue="16000"/>
    </cacheField>
    <cacheField name="Transaction" numFmtId="0">
      <sharedItems/>
    </cacheField>
    <cacheField name="Category" numFmtId="0">
      <sharedItems count="14">
        <s v="Fitness"/>
        <s v="Donations"/>
        <s v="Rent &amp; Charges"/>
        <s v="Apartamento"/>
        <s v="Incomes"/>
        <s v="Assinaturas"/>
        <s v="Casa"/>
        <s v="Baby"/>
        <s v="Groceries"/>
        <s v="Carro"/>
        <s v="Healthcare"/>
        <s v="Viagem RJ/VCP"/>
        <s v="Shopping"/>
        <s v="Viagem"/>
      </sharedItems>
    </cacheField>
    <cacheField name="Paid by" numFmtId="0">
      <sharedItems/>
    </cacheField>
    <cacheField name="Date" numFmtId="14">
      <sharedItems containsDate="1" containsMixedTypes="1" minDate="2024-12-03T00:00:00" maxDate="2025-08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60.451912615739" createdVersion="8" refreshedVersion="8" minRefreshableVersion="3" recordCount="46" xr:uid="{0D9FB4E8-A601-47F4-A7B1-6CC6466DB94E}">
  <cacheSource type="worksheet">
    <worksheetSource name="Table_189101112"/>
  </cacheSource>
  <cacheFields count="7">
    <cacheField name="Title" numFmtId="0">
      <sharedItems count="45">
        <s v="RX RUN"/>
        <s v="Dizimo"/>
        <s v="Gympass"/>
        <s v="Agua"/>
        <s v="Luz (prov)"/>
        <s v="Caixinha ap"/>
        <s v="Adiantamento Bosch"/>
        <s v="Holy Family"/>
        <s v="Opus Dei"/>
        <s v="Apple icloud"/>
        <s v="Gazeta do povo"/>
        <s v="Condominio"/>
        <s v="Internet"/>
        <s v="Gas"/>
        <s v="Salario Bosch"/>
        <s v="Salario Woodmac"/>
        <s v="Diarista"/>
        <s v="Babá"/>
        <s v="Wine"/>
        <s v="Leiturinha "/>
        <s v="dio - assinatura"/>
        <s v="Hotel pe Eraldo"/>
        <s v="Cesto Bebel"/>
        <s v="Cadeirinha"/>
        <s v="Amazon - Suplementos"/>
        <s v="Brinquedos Bebel"/>
        <s v="Vitaminas e suplementos Luiz"/>
        <s v="Azul Linhas oe8pxb"/>
        <s v="Azul uq3ptk"/>
        <s v="Amazon"/>
        <s v="Passagem RJ LM7ZFT"/>
        <s v="Passagem RJ BL1LUW"/>
        <s v="Brocas Bosch"/>
        <s v="Barrinhas Bold"/>
        <s v="Amazon - itens diversos"/>
        <s v="Essential - remedio Bebel"/>
        <s v="Cadeira alimentacao"/>
        <s v="Algodões Bebel"/>
        <s v="Mil Decor"/>
        <s v="Adaptaorg"/>
        <s v="Passagem Azul NG64HI"/>
        <s v="Amazon - brinquedos bebel"/>
        <s v="Amazon- estante depósito"/>
        <s v="Presente Pietro"/>
        <s v="Clube Azul"/>
      </sharedItems>
    </cacheField>
    <cacheField name="Amount" numFmtId="2">
      <sharedItems containsSemiMixedTypes="0" containsString="0" containsNumber="1" minValue="11.417142857142858" maxValue="16000"/>
    </cacheField>
    <cacheField name="Transaction" numFmtId="0">
      <sharedItems/>
    </cacheField>
    <cacheField name="Category" numFmtId="0">
      <sharedItems count="13">
        <s v="Fitness"/>
        <s v="Donations"/>
        <s v="Rent &amp; Charges"/>
        <s v="Apartamento"/>
        <s v="Incomes"/>
        <s v="Assinaturas"/>
        <s v="Casa"/>
        <s v="Baby"/>
        <s v="Groceries"/>
        <s v="Healthcare"/>
        <s v="Viagem RJ/VCP"/>
        <s v="Shopping"/>
        <s v="Viagem"/>
      </sharedItems>
    </cacheField>
    <cacheField name="Paid by" numFmtId="0">
      <sharedItems/>
    </cacheField>
    <cacheField name="Date" numFmtId="14">
      <sharedItems containsDate="1" containsMixedTypes="1" minDate="2024-12-03T00:00:00" maxDate="2025-08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60.452351851854" createdVersion="8" refreshedVersion="8" minRefreshableVersion="3" recordCount="39" xr:uid="{382F8FE2-E6B9-47C1-9B95-AB2797A98EB6}">
  <cacheSource type="worksheet">
    <worksheetSource name="Table_18910111213"/>
  </cacheSource>
  <cacheFields count="7">
    <cacheField name="Title" numFmtId="0">
      <sharedItems count="39">
        <s v="RX RUN"/>
        <s v="Dizimo"/>
        <s v="Gympass"/>
        <s v="Agua"/>
        <s v="Luz (prov)"/>
        <s v="Caixinha ap"/>
        <s v="Adiantamento Bosch"/>
        <s v="Holy Family"/>
        <s v="Opus Dei"/>
        <s v="Apple icloud"/>
        <s v="Gazeta do povo"/>
        <s v="Condominio"/>
        <s v="Internet"/>
        <s v="Gas"/>
        <s v="Salario Bosch"/>
        <s v="Salario Woodmac"/>
        <s v="Diarista"/>
        <s v="Babá"/>
        <s v="Wine"/>
        <s v="Leiturinha "/>
        <s v="dio - assinatura"/>
        <s v="Hotel pe Eraldo"/>
        <s v="Cesto Bebel"/>
        <s v="Cadeirinha"/>
        <s v="Brinquedos Bebel"/>
        <s v="Vitaminas e suplementos Luiz"/>
        <s v="Azul uq3ptk"/>
        <s v="Amazon"/>
        <s v="Brocas Bosch"/>
        <s v="Barrinhas Bold"/>
        <s v="Amazon - itens diversos"/>
        <s v="Cadeira alimentacao"/>
        <s v="Mil Decor"/>
        <s v="Adaptaorg"/>
        <s v="Passagem Azul NG64HI"/>
        <s v="Amazon - brinquedos bebel"/>
        <s v="Amazon- estante depósito"/>
        <s v="Presente Pietro"/>
        <s v="Clube Azul"/>
      </sharedItems>
    </cacheField>
    <cacheField name="Amount" numFmtId="2">
      <sharedItems containsSemiMixedTypes="0" containsString="0" containsNumber="1" minValue="11.417142857142858" maxValue="16000"/>
    </cacheField>
    <cacheField name="Transaction" numFmtId="0">
      <sharedItems/>
    </cacheField>
    <cacheField name="Category" numFmtId="0">
      <sharedItems count="13">
        <s v="Fitness"/>
        <s v="Donations"/>
        <s v="Rent &amp; Charges"/>
        <s v="Apartamento"/>
        <s v="Incomes"/>
        <s v="Assinaturas"/>
        <s v="Casa"/>
        <s v="Baby"/>
        <s v="Groceries"/>
        <s v="Healthcare"/>
        <s v="Viagem RJ/VCP"/>
        <s v="Shopping"/>
        <s v="Viagem"/>
      </sharedItems>
    </cacheField>
    <cacheField name="Paid by" numFmtId="0">
      <sharedItems/>
    </cacheField>
    <cacheField name="Date" numFmtId="14">
      <sharedItems containsDate="1" containsMixedTypes="1" minDate="2024-12-03T00:00:00" maxDate="2025-08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tzel Luiz (VM/ENG21-LA)" refreshedDate="45866.410929398146" createdVersion="8" refreshedVersion="8" minRefreshableVersion="3" recordCount="191" xr:uid="{52F15716-6545-4CD4-A2C8-C6569C27117F}">
  <cacheSource type="worksheet">
    <worksheetSource name="Table_18"/>
  </cacheSource>
  <cacheFields count="7">
    <cacheField name="Title" numFmtId="0">
      <sharedItems count="154">
        <s v="RX RUN"/>
        <s v="Dizimo"/>
        <s v="Gympass"/>
        <s v="Condominio"/>
        <s v="Caixinha ap"/>
        <s v="Adiantamento Bosch"/>
        <s v="Agua"/>
        <s v="Holy Family"/>
        <s v="Opus Dei"/>
        <s v="Apple icloud"/>
        <s v="Gazeta do povo"/>
        <s v="Internet"/>
        <s v="Gas"/>
        <s v="IPTU"/>
        <s v="Salario Bosch"/>
        <s v="Salario Woodmac"/>
        <s v="Diarista"/>
        <s v="Babá"/>
        <s v="Wine (7/12)"/>
        <s v="Seguro Carro (7/10)"/>
        <s v="Relógio Maria (7/8)"/>
        <s v="Leiturinha (6/12)"/>
        <s v="dio - assinatura (6/12)"/>
        <s v="Livros Cedet (6/6)"/>
        <s v="Escorredor louca Bebel (6/6)"/>
        <s v="Roupas Maria (6/6)"/>
        <s v="Hotel pe Eraldo"/>
        <s v="Amazon - tapete Bebel"/>
        <s v="Amazon (livros)"/>
        <s v="Amazon (suplementos)"/>
        <s v="Cesto Bebel"/>
        <s v="Cadeirinha"/>
        <s v="Crocs Maria"/>
        <s v="Amazon - Suplementos"/>
        <s v="Azahar - presente Maria"/>
        <s v="Omega 3 e Vitaminas"/>
        <s v="Farmacia - Formula"/>
        <s v="Brinquedos Bebel"/>
        <s v="Tintas pintura AP"/>
        <s v="Hope biquini"/>
        <s v="Farmacia - Manipulados"/>
        <s v="Vitaminas Cabelo"/>
        <s v="Azul Linhas oe8pxb"/>
        <s v="Vitaminas e suplementos Luiz"/>
        <s v="Farmacia Zoloft"/>
        <s v="Tenis Redley"/>
        <s v="Bolsa Termica Leite"/>
        <s v="Protetor ouvido Bebel"/>
        <s v="Amazon - Mamadeiras"/>
        <s v="Azul uq3ptk"/>
        <s v="Drogaria Venancio"/>
        <s v="Farmacia"/>
        <s v="Roupa Festa Junina Bebel"/>
        <s v="Bicos mamadeira"/>
        <s v="Amazon"/>
        <s v="Passagens Busao"/>
        <s v="Passagem RJ LM7ZFT"/>
        <s v="Passagem RJ BL1LUW"/>
        <s v="Farmacia (formula, copo e chupueta)"/>
        <s v="Brocas Bosch"/>
        <s v="Passagem Rio Bus"/>
        <s v="Farmacia - Bicos chupeta"/>
        <s v="Barrinhas Bold"/>
        <s v="Amazon - itens diversos"/>
        <s v="Essential - remedio Bebel"/>
        <s v="Passagem busao RJ "/>
        <s v="Copos medela"/>
        <s v="Cadeira alimentacao"/>
        <s v="Algodões Bebel"/>
        <s v="Passagem azul "/>
        <s v="Mil Decor"/>
        <s v="Impermeabilização"/>
        <s v="Pao Vila Paraiso"/>
        <s v="Pizza"/>
        <s v="Amazon - organizadores"/>
        <s v="Borracharia"/>
        <s v="Amazon - mordedor"/>
        <s v="Pizza - Pe Eraldo"/>
        <s v="Amazon - brinquedo Bebel"/>
        <s v="Liti Maria"/>
        <s v="Uber"/>
        <s v="Coffee mais"/>
        <s v="Frango Assado"/>
        <s v="Mesinhas sala"/>
        <s v="Amazon - Wap cleaner"/>
        <s v="Gasolina - RJ"/>
        <s v="Localiza - Pedagio"/>
        <s v="Salchepao"/>
        <s v="Pizza hut"/>
        <s v="Cafe conceito"/>
        <s v="Gasolina "/>
        <s v="Gasolina"/>
        <s v="Ifoodclub"/>
        <s v="Carrefour sopa"/>
        <s v="Amazon- yopro"/>
        <s v="Chatgpt"/>
        <s v="Bread king"/>
        <s v="Swift"/>
        <s v="Amazon - ralo pia"/>
        <s v="Unhas Maria"/>
        <s v="Pedagio"/>
        <s v="Agua de coco"/>
        <s v="Ze delivery"/>
        <s v="Napper"/>
        <s v="Adaptaorg"/>
        <s v="Passagem azul (Capo)"/>
        <s v="Colchao Bebel"/>
        <s v="Youtube premium"/>
        <s v="Babá eletronica"/>
        <s v="Ifood club"/>
        <s v="Passagem Azul NG64HI"/>
        <s v="Sonoffs "/>
        <s v="Amazon - produtos carro"/>
        <s v="Farmácia - Fórmula"/>
        <s v="Amazon - brinquedos bebel"/>
        <s v="Amazon- estante depósito"/>
        <s v="Presente Pietro"/>
        <s v="Voo azul"/>
        <s v="Passagem Busao"/>
        <s v="Academia Bluefit"/>
        <s v="Metro"/>
        <s v="Zona Sul"/>
        <s v="Metro rj"/>
        <s v="Presente prima Maria"/>
        <s v="Zona Sul vinho Maria"/>
        <s v="Clube Azul"/>
        <s v="Cafe da manha RJ"/>
        <s v="Esfihas"/>
        <s v="Uber RJ"/>
        <s v="Sobrancelha"/>
        <s v="Brinquedo Bebel"/>
        <s v="Rappi - Aguas"/>
        <s v="Suporte camera"/>
        <s v="Uber Cps"/>
        <s v="Liti Luiz"/>
        <s v="Carrefour"/>
        <s v="Camera Baba"/>
        <s v="Oba"/>
        <s v="Almoco RJ"/>
        <s v="Estacionamento"/>
        <s v="Farmacia "/>
        <s v="Swift carnes"/>
        <s v="Shopee - fantasia"/>
        <s v="Temu - cesto"/>
        <s v="Mercado livre - bandeja, espelhos"/>
        <s v="Cafe tokstok"/>
        <s v="Tok&amp;Stok"/>
        <s v="Echope"/>
        <s v="Shopee - cestos"/>
        <s v="Azul - taxas"/>
        <s v="Shopee - luz noturna"/>
        <s v="Luz (prov)" u="1"/>
        <s v="Adiantamento Mck" u="1"/>
        <s v="Salario Mck" u="1"/>
      </sharedItems>
    </cacheField>
    <cacheField name="Amount" numFmtId="2">
      <sharedItems containsSemiMixedTypes="0" containsString="0" containsNumber="1" minValue="0" maxValue="16000"/>
    </cacheField>
    <cacheField name="Transaction" numFmtId="0">
      <sharedItems/>
    </cacheField>
    <cacheField name="Category" numFmtId="0">
      <sharedItems count="18">
        <s v="Fitness"/>
        <s v="Donations"/>
        <s v="Rent &amp; Charges"/>
        <s v="Apartamento"/>
        <s v="Incomes"/>
        <s v="Assinaturas"/>
        <s v="Casa"/>
        <s v="Baby"/>
        <s v="Groceries"/>
        <s v="Carro"/>
        <s v="Shopping"/>
        <s v="Healthcare"/>
        <s v="Viagem RJ/VCP"/>
        <s v="Restaurants &amp; Bars"/>
        <s v="Transport"/>
        <s v="Viagem"/>
        <s v="Other"/>
        <s v="Beauty"/>
      </sharedItems>
    </cacheField>
    <cacheField name="Paid by" numFmtId="0">
      <sharedItems containsBlank="1"/>
    </cacheField>
    <cacheField name="Date" numFmtId="14">
      <sharedItems containsSemiMixedTypes="0" containsNonDate="0" containsDate="1" containsString="0" minDate="2024-12-03T00:00:00" maxDate="2025-07-31T00:00:00"/>
    </cacheField>
    <cacheField name="Parcela" numFmtId="49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x v="0"/>
    <n v="500"/>
    <s v="Expense"/>
    <x v="0"/>
    <s v="Maria"/>
    <d v="2025-02-28T00:00:00"/>
    <m/>
  </r>
  <r>
    <x v="1"/>
    <n v="10.95"/>
    <s v="Expense"/>
    <x v="1"/>
    <s v="Luiz"/>
    <d v="2025-02-27T00:00:00"/>
    <m/>
  </r>
  <r>
    <x v="2"/>
    <n v="43.5"/>
    <s v="Expense"/>
    <x v="2"/>
    <s v="Luiz"/>
    <d v="2025-02-26T00:00:00"/>
    <m/>
  </r>
  <r>
    <x v="3"/>
    <n v="101.89"/>
    <s v="Expense"/>
    <x v="3"/>
    <s v="Luiz"/>
    <d v="2025-02-25T00:00:00"/>
    <m/>
  </r>
  <r>
    <x v="4"/>
    <n v="3.77"/>
    <s v="Expense"/>
    <x v="4"/>
    <s v="Luiz"/>
    <d v="2025-02-25T00:00:00"/>
    <m/>
  </r>
  <r>
    <x v="1"/>
    <n v="19.399999999999999"/>
    <s v="Expense"/>
    <x v="1"/>
    <s v="Luiz"/>
    <d v="2025-02-25T00:00:00"/>
    <m/>
  </r>
  <r>
    <x v="5"/>
    <n v="20"/>
    <s v="Expense"/>
    <x v="5"/>
    <s v="Luiz"/>
    <d v="2025-02-24T00:00:00"/>
    <m/>
  </r>
  <r>
    <x v="6"/>
    <n v="36.46"/>
    <s v="Expense"/>
    <x v="6"/>
    <s v="Luiz"/>
    <d v="2025-02-24T00:00:00"/>
    <m/>
  </r>
  <r>
    <x v="7"/>
    <n v="40"/>
    <s v="Expense"/>
    <x v="3"/>
    <s v="Maria"/>
    <d v="2025-02-24T00:00:00"/>
    <m/>
  </r>
  <r>
    <x v="8"/>
    <n v="86.43"/>
    <s v="Expense"/>
    <x v="1"/>
    <s v="Luiz"/>
    <d v="2025-02-24T00:00:00"/>
    <m/>
  </r>
  <r>
    <x v="9"/>
    <n v="39.090000000000003"/>
    <s v="Expense"/>
    <x v="4"/>
    <s v="Maria"/>
    <d v="2025-02-24T00:00:00"/>
    <m/>
  </r>
  <r>
    <x v="10"/>
    <n v="6.66"/>
    <s v="Expense"/>
    <x v="4"/>
    <s v="Luiz"/>
    <d v="2025-02-23T00:00:00"/>
    <m/>
  </r>
  <r>
    <x v="11"/>
    <n v="30.5"/>
    <s v="Expense"/>
    <x v="5"/>
    <s v="Luiz"/>
    <d v="2025-02-23T00:00:00"/>
    <m/>
  </r>
  <r>
    <x v="12"/>
    <n v="84.95"/>
    <s v="Expense"/>
    <x v="3"/>
    <s v="Luiz"/>
    <d v="2025-02-22T00:00:00"/>
    <m/>
  </r>
  <r>
    <x v="13"/>
    <n v="50"/>
    <s v="Expense"/>
    <x v="7"/>
    <s v="Luiz"/>
    <d v="2025-02-22T00:00:00"/>
    <m/>
  </r>
  <r>
    <x v="14"/>
    <n v="116.33"/>
    <s v="Expense"/>
    <x v="7"/>
    <s v="Luiz"/>
    <d v="2025-02-22T00:00:00"/>
    <m/>
  </r>
  <r>
    <x v="15"/>
    <n v="14.04"/>
    <s v="Expense"/>
    <x v="5"/>
    <s v="Luiz"/>
    <d v="2025-02-21T00:00:00"/>
    <m/>
  </r>
  <r>
    <x v="16"/>
    <n v="27.3"/>
    <s v="Expense"/>
    <x v="5"/>
    <s v="Luiz"/>
    <d v="2025-02-19T00:00:00"/>
    <m/>
  </r>
  <r>
    <x v="17"/>
    <n v="26.83"/>
    <s v="Expense"/>
    <x v="4"/>
    <s v="Luiz"/>
    <d v="2025-02-19T00:00:00"/>
    <m/>
  </r>
  <r>
    <x v="18"/>
    <n v="9.5"/>
    <s v="Expense"/>
    <x v="3"/>
    <s v="Maria"/>
    <d v="2025-02-18T00:00:00"/>
    <m/>
  </r>
  <r>
    <x v="4"/>
    <n v="10.050000000000001"/>
    <s v="Expense"/>
    <x v="4"/>
    <s v="Luiz"/>
    <d v="2025-02-18T00:00:00"/>
    <m/>
  </r>
  <r>
    <x v="19"/>
    <n v="150"/>
    <s v="Expense"/>
    <x v="7"/>
    <s v="Maria"/>
    <d v="2025-02-18T00:00:00"/>
    <m/>
  </r>
  <r>
    <x v="20"/>
    <n v="13.6"/>
    <s v="Expense"/>
    <x v="2"/>
    <s v="Luiz"/>
    <d v="2025-02-18T00:00:00"/>
    <m/>
  </r>
  <r>
    <x v="21"/>
    <n v="61.8"/>
    <s v="Expense"/>
    <x v="2"/>
    <s v="Luiz"/>
    <d v="2025-02-18T00:00:00"/>
    <m/>
  </r>
  <r>
    <x v="22"/>
    <n v="19.899999999999999"/>
    <s v="Expense"/>
    <x v="8"/>
    <s v="Luiz"/>
    <d v="2025-02-17T00:00:00"/>
    <m/>
  </r>
  <r>
    <x v="23"/>
    <n v="123.75"/>
    <s v="Expense"/>
    <x v="4"/>
    <s v="Luiz"/>
    <d v="2025-02-17T00:00:00"/>
    <m/>
  </r>
  <r>
    <x v="24"/>
    <n v="5.88"/>
    <s v="Expense"/>
    <x v="7"/>
    <s v="Maria"/>
    <d v="2025-02-17T00:00:00"/>
    <m/>
  </r>
  <r>
    <x v="25"/>
    <n v="36.479999999999997"/>
    <s v="Expense"/>
    <x v="5"/>
    <s v="Maria"/>
    <d v="2025-02-17T00:00:00"/>
    <m/>
  </r>
  <r>
    <x v="1"/>
    <n v="23.95"/>
    <s v="Expense"/>
    <x v="1"/>
    <s v="Luiz"/>
    <d v="2025-02-17T00:00:00"/>
    <m/>
  </r>
  <r>
    <x v="8"/>
    <n v="20"/>
    <s v="Expense"/>
    <x v="1"/>
    <s v="Luiz"/>
    <d v="2025-02-17T00:00:00"/>
    <m/>
  </r>
  <r>
    <x v="25"/>
    <n v="36.840000000000003"/>
    <s v="Expense"/>
    <x v="5"/>
    <s v="Maria"/>
    <d v="2025-02-15T00:00:00"/>
    <m/>
  </r>
  <r>
    <x v="4"/>
    <n v="9.7899999999999991"/>
    <s v="Expense"/>
    <x v="4"/>
    <s v="Luiz"/>
    <d v="2025-02-15T00:00:00"/>
    <m/>
  </r>
  <r>
    <x v="26"/>
    <n v="45"/>
    <s v="Expense"/>
    <x v="4"/>
    <s v="Luiz"/>
    <d v="2025-02-15T00:00:00"/>
    <m/>
  </r>
  <r>
    <x v="27"/>
    <n v="90"/>
    <s v="Expense"/>
    <x v="7"/>
    <s v="Maria"/>
    <d v="2025-02-15T00:00:00"/>
    <m/>
  </r>
  <r>
    <x v="28"/>
    <n v="2.94"/>
    <s v="Expense"/>
    <x v="4"/>
    <s v="Luiz"/>
    <d v="2025-02-14T00:00:00"/>
    <m/>
  </r>
  <r>
    <x v="29"/>
    <n v="26"/>
    <s v="Expense"/>
    <x v="1"/>
    <s v="Luiz"/>
    <d v="2025-02-14T00:00:00"/>
    <m/>
  </r>
  <r>
    <x v="30"/>
    <n v="69.900000000000006"/>
    <s v="Expense"/>
    <x v="3"/>
    <s v="Maria"/>
    <d v="2025-02-13T00:00:00"/>
    <m/>
  </r>
  <r>
    <x v="31"/>
    <n v="128.04"/>
    <s v="Expense"/>
    <x v="4"/>
    <s v="Maria"/>
    <d v="2025-02-13T00:00:00"/>
    <m/>
  </r>
  <r>
    <x v="32"/>
    <n v="33.166666666666664"/>
    <s v="Expense"/>
    <x v="9"/>
    <s v="Luiz"/>
    <d v="2025-02-13T00:00:00"/>
    <m/>
  </r>
  <r>
    <x v="33"/>
    <n v="11.95"/>
    <s v="Expense"/>
    <x v="5"/>
    <s v="Maria"/>
    <d v="2025-02-12T00:00:00"/>
    <m/>
  </r>
  <r>
    <x v="34"/>
    <n v="149.9"/>
    <s v="Expense"/>
    <x v="9"/>
    <s v="Luiz"/>
    <d v="2025-02-12T00:00:00"/>
    <m/>
  </r>
  <r>
    <x v="35"/>
    <n v="105.8"/>
    <s v="Expense"/>
    <x v="4"/>
    <s v="Luiz"/>
    <d v="2025-02-12T00:00:00"/>
    <m/>
  </r>
  <r>
    <x v="36"/>
    <n v="11.87"/>
    <s v="Expense"/>
    <x v="7"/>
    <s v="Maria"/>
    <d v="2025-02-11T00:00:00"/>
    <m/>
  </r>
  <r>
    <x v="37"/>
    <n v="166.25"/>
    <s v="Expense"/>
    <x v="3"/>
    <s v="Luiz"/>
    <d v="2025-02-11T00:00:00"/>
    <m/>
  </r>
  <r>
    <x v="18"/>
    <n v="4"/>
    <s v="Expense"/>
    <x v="3"/>
    <s v="Luiz"/>
    <d v="2025-02-10T00:00:00"/>
    <m/>
  </r>
  <r>
    <x v="38"/>
    <n v="42.66"/>
    <s v="Expense"/>
    <x v="7"/>
    <s v="Luiz"/>
    <d v="2025-02-10T00:00:00"/>
    <m/>
  </r>
  <r>
    <x v="39"/>
    <n v="40.11"/>
    <s v="Expense"/>
    <x v="3"/>
    <s v="Luiz"/>
    <d v="2025-02-10T00:00:00"/>
    <m/>
  </r>
  <r>
    <x v="40"/>
    <n v="100"/>
    <s v="Expense"/>
    <x v="1"/>
    <s v="Luiz"/>
    <d v="2025-02-10T00:00:00"/>
    <m/>
  </r>
  <r>
    <x v="41"/>
    <n v="102"/>
    <s v="Expense"/>
    <x v="2"/>
    <s v="Luiz"/>
    <d v="2025-02-09T00:00:00"/>
    <m/>
  </r>
  <r>
    <x v="42"/>
    <n v="57.1"/>
    <s v="Expense"/>
    <x v="5"/>
    <s v="Luiz"/>
    <d v="2025-02-08T00:00:00"/>
    <m/>
  </r>
  <r>
    <x v="43"/>
    <n v="44"/>
    <s v="Expense"/>
    <x v="5"/>
    <s v="Luiz"/>
    <d v="2025-02-07T00:00:00"/>
    <m/>
  </r>
  <r>
    <x v="44"/>
    <n v="9.9499999999999993"/>
    <s v="Expense"/>
    <x v="1"/>
    <s v="Maria"/>
    <d v="2025-02-06T00:00:00"/>
    <m/>
  </r>
  <r>
    <x v="27"/>
    <n v="90"/>
    <s v="Expense"/>
    <x v="3"/>
    <s v="Maria"/>
    <d v="2025-02-06T00:00:00"/>
    <m/>
  </r>
  <r>
    <x v="45"/>
    <n v="5"/>
    <s v="Expense"/>
    <x v="0"/>
    <s v="Luiz"/>
    <d v="2025-02-06T00:00:00"/>
    <m/>
  </r>
  <r>
    <x v="46"/>
    <n v="40"/>
    <s v="Expense"/>
    <x v="7"/>
    <s v="Maria"/>
    <d v="2025-02-05T00:00:00"/>
    <m/>
  </r>
  <r>
    <x v="47"/>
    <n v="53.99"/>
    <s v="Expense"/>
    <x v="3"/>
    <s v="Luiz"/>
    <d v="2025-02-05T00:00:00"/>
    <m/>
  </r>
  <r>
    <x v="48"/>
    <n v="98"/>
    <s v="Income"/>
    <x v="10"/>
    <s v="Maria"/>
    <d v="2025-02-04T00:00:00"/>
    <m/>
  </r>
  <r>
    <x v="1"/>
    <n v="11.93"/>
    <s v="Expense"/>
    <x v="1"/>
    <s v="Maria"/>
    <d v="2025-02-04T00:00:00"/>
    <m/>
  </r>
  <r>
    <x v="1"/>
    <n v="10.99"/>
    <s v="Expense"/>
    <x v="1"/>
    <s v="Maria"/>
    <d v="2025-02-04T00:00:00"/>
    <m/>
  </r>
  <r>
    <x v="49"/>
    <n v="125.94"/>
    <s v="Expense"/>
    <x v="3"/>
    <s v="Luiz"/>
    <d v="2025-02-04T00:00:00"/>
    <m/>
  </r>
  <r>
    <x v="50"/>
    <n v="235"/>
    <s v="Expense"/>
    <x v="3"/>
    <s v="Maria"/>
    <d v="2025-02-04T00:00:00"/>
    <m/>
  </r>
  <r>
    <x v="51"/>
    <n v="57.52"/>
    <s v="Expense"/>
    <x v="7"/>
    <s v="Luiz"/>
    <d v="2025-02-04T00:00:00"/>
    <m/>
  </r>
  <r>
    <x v="52"/>
    <n v="56.2"/>
    <s v="Expense"/>
    <x v="5"/>
    <s v="Luiz"/>
    <d v="2025-02-03T00:00:00"/>
    <m/>
  </r>
  <r>
    <x v="53"/>
    <n v="42.021999999999998"/>
    <s v="Expense"/>
    <x v="4"/>
    <s v="Luiz"/>
    <d v="2025-02-03T00:00:00"/>
    <m/>
  </r>
  <r>
    <x v="54"/>
    <n v="17.815999999999999"/>
    <s v="Expense"/>
    <x v="3"/>
    <s v="Luiz"/>
    <d v="2025-02-03T00:00:00"/>
    <m/>
  </r>
  <r>
    <x v="55"/>
    <n v="69.900000000000006"/>
    <s v="Expense"/>
    <x v="3"/>
    <s v="Luiz"/>
    <d v="2025-02-02T00:00:00"/>
    <m/>
  </r>
  <r>
    <x v="56"/>
    <n v="19.96"/>
    <s v="Expense"/>
    <x v="7"/>
    <s v="Maria"/>
    <d v="2025-02-02T00:00:00"/>
    <m/>
  </r>
  <r>
    <x v="57"/>
    <n v="45.99"/>
    <s v="Expense"/>
    <x v="5"/>
    <s v="Luiz"/>
    <d v="2025-01-31T00:00:00"/>
    <m/>
  </r>
  <r>
    <x v="58"/>
    <n v="272"/>
    <s v="Expense"/>
    <x v="11"/>
    <s v="Luiz"/>
    <d v="2025-02-03T00:00:00"/>
    <m/>
  </r>
  <r>
    <x v="59"/>
    <n v="400"/>
    <s v="Expense"/>
    <x v="0"/>
    <s v="Luiz"/>
    <d v="2025-02-03T00:00:00"/>
    <m/>
  </r>
  <r>
    <x v="60"/>
    <n v="289.89999999999998"/>
    <s v="Expense"/>
    <x v="11"/>
    <s v="Maria"/>
    <d v="2025-02-05T00:00:00"/>
    <m/>
  </r>
  <r>
    <x v="61"/>
    <n v="150"/>
    <s v="Expense"/>
    <x v="0"/>
    <s v="Maria"/>
    <d v="2025-02-10T00:00:00"/>
    <m/>
  </r>
  <r>
    <x v="62"/>
    <n v="107.12"/>
    <s v="Expense"/>
    <x v="12"/>
    <s v="Luiz"/>
    <d v="2025-02-13T00:00:00"/>
    <m/>
  </r>
  <r>
    <x v="63"/>
    <n v="6261"/>
    <s v="Expense"/>
    <x v="13"/>
    <s v="Luiz"/>
    <d v="2025-02-15T00:00:00"/>
    <m/>
  </r>
  <r>
    <x v="64"/>
    <n v="5679.6"/>
    <s v="Income"/>
    <x v="10"/>
    <s v="Maria"/>
    <d v="2025-02-15T00:00:00"/>
    <m/>
  </r>
  <r>
    <x v="65"/>
    <n v="5710.37"/>
    <s v="Income"/>
    <x v="10"/>
    <s v="Luiz"/>
    <d v="2025-02-15T00:00:00"/>
    <m/>
  </r>
  <r>
    <x v="66"/>
    <n v="60"/>
    <s v="Expense"/>
    <x v="0"/>
    <s v="Luiz"/>
    <d v="2025-02-18T00:00:00"/>
    <m/>
  </r>
  <r>
    <x v="67"/>
    <n v="100"/>
    <s v="Expense"/>
    <x v="0"/>
    <s v="Luiz"/>
    <d v="2025-02-25T00:00:00"/>
    <m/>
  </r>
  <r>
    <x v="68"/>
    <n v="49.9"/>
    <s v="Expense"/>
    <x v="8"/>
    <s v="Luiz"/>
    <d v="2025-02-25T00:00:00"/>
    <m/>
  </r>
  <r>
    <x v="69"/>
    <n v="1698.46"/>
    <s v="Expense"/>
    <x v="12"/>
    <s v="Luiz"/>
    <d v="2025-02-28T00:00:00"/>
    <m/>
  </r>
  <r>
    <x v="70"/>
    <n v="604.1"/>
    <s v="Expense"/>
    <x v="12"/>
    <s v="Luiz"/>
    <d v="2025-02-28T00:00:00"/>
    <m/>
  </r>
  <r>
    <x v="71"/>
    <n v="113.7"/>
    <s v="Expense"/>
    <x v="12"/>
    <s v="Luiz"/>
    <d v="2025-02-28T00:00:00"/>
    <m/>
  </r>
  <r>
    <x v="72"/>
    <n v="50"/>
    <s v="Expense"/>
    <x v="12"/>
    <s v="Luiz"/>
    <d v="2025-02-28T00:00:00"/>
    <m/>
  </r>
  <r>
    <x v="73"/>
    <n v="4489.33"/>
    <s v="Income"/>
    <x v="10"/>
    <s v="Luiz"/>
    <d v="2025-02-28T00:00:00"/>
    <m/>
  </r>
  <r>
    <x v="74"/>
    <n v="3165.25"/>
    <s v="Income"/>
    <x v="10"/>
    <s v="Maria"/>
    <d v="2025-02-28T00:00:00"/>
    <m/>
  </r>
  <r>
    <x v="75"/>
    <n v="25.9"/>
    <s v="Expense"/>
    <x v="8"/>
    <s v="Luiz"/>
    <d v="2024-05-18T00:00:00"/>
    <m/>
  </r>
  <r>
    <x v="76"/>
    <n v="105.82"/>
    <s v="Expense"/>
    <x v="4"/>
    <s v="Luiz"/>
    <d v="2024-12-01T00:00:00"/>
    <m/>
  </r>
  <r>
    <x v="77"/>
    <n v="73.125"/>
    <s v="Expense"/>
    <x v="5"/>
    <s v="Luiz"/>
    <d v="2024-12-03T00:00:00"/>
    <m/>
  </r>
  <r>
    <x v="78"/>
    <n v="46.61"/>
    <s v="Expense"/>
    <x v="3"/>
    <s v="Luiz"/>
    <d v="2024-12-31T00:00:00"/>
    <m/>
  </r>
  <r>
    <x v="79"/>
    <n v="41.1"/>
    <s v="Expense"/>
    <x v="3"/>
    <s v="Luiz"/>
    <d v="2024-12-31T00:00:00"/>
    <m/>
  </r>
  <r>
    <x v="80"/>
    <n v="54.3"/>
    <s v="Expense"/>
    <x v="4"/>
    <s v="Luiz"/>
    <d v="2024-12-31T00:00:00"/>
    <m/>
  </r>
  <r>
    <x v="81"/>
    <n v="398.99000000000007"/>
    <s v="Expense"/>
    <x v="3"/>
    <s v="Luiz"/>
    <d v="2024-12-20T00:00:00"/>
    <m/>
  </r>
  <r>
    <x v="82"/>
    <n v="51.68"/>
    <s v="Expense"/>
    <x v="7"/>
    <s v="Luiz"/>
    <d v="2024-12-17T00:00:00"/>
    <m/>
  </r>
  <r>
    <x v="83"/>
    <n v="82.17"/>
    <s v="Expense"/>
    <x v="4"/>
    <s v="Luiz"/>
    <d v="2024-12-31T00:00:00"/>
    <m/>
  </r>
  <r>
    <x v="84"/>
    <n v="346.14"/>
    <s v="Expense"/>
    <x v="6"/>
    <s v="Luiz"/>
    <d v="2024-12-31T00:00:00"/>
    <m/>
  </r>
  <r>
    <x v="76"/>
    <n v="58.15"/>
    <s v="Expense"/>
    <x v="4"/>
    <s v="Luiz"/>
    <d v="2024-12-18T00:00:00"/>
    <m/>
  </r>
  <r>
    <x v="85"/>
    <n v="33.36"/>
    <s v="Expense"/>
    <x v="7"/>
    <s v="Luiz"/>
    <d v="2024-12-13T00:00:00"/>
    <m/>
  </r>
  <r>
    <x v="86"/>
    <n v="44.97"/>
    <s v="Expense"/>
    <x v="4"/>
    <s v="Luiz"/>
    <d v="2024-12-31T00:00:00"/>
    <m/>
  </r>
  <r>
    <x v="87"/>
    <n v="27.01"/>
    <s v="Expense"/>
    <x v="3"/>
    <s v="Luiz"/>
    <d v="2024-12-31T00:00:00"/>
    <m/>
  </r>
  <r>
    <x v="88"/>
    <n v="81.819999999999993"/>
    <s v="Expense"/>
    <x v="5"/>
    <s v="Luiz"/>
    <d v="2025-01-05T00:00:00"/>
    <m/>
  </r>
  <r>
    <x v="89"/>
    <n v="91.19"/>
    <s v="Expense"/>
    <x v="3"/>
    <s v="Luiz"/>
    <d v="2025-01-06T00:00:00"/>
    <m/>
  </r>
  <r>
    <x v="90"/>
    <n v="95.62"/>
    <s v="Expense"/>
    <x v="4"/>
    <s v="Luiz"/>
    <d v="2025-01-06T00:00:00"/>
    <m/>
  </r>
  <r>
    <x v="89"/>
    <n v="102.46"/>
    <s v="Expense"/>
    <x v="3"/>
    <s v="Luiz"/>
    <d v="2025-01-06T00:00:00"/>
    <m/>
  </r>
  <r>
    <x v="91"/>
    <n v="68.8"/>
    <s v="Expense"/>
    <x v="3"/>
    <s v="Luiz"/>
    <d v="2025-01-11T00:00:00"/>
    <m/>
  </r>
  <r>
    <x v="92"/>
    <n v="69.95"/>
    <s v="Expense"/>
    <x v="3"/>
    <s v="Luiz"/>
    <d v="2025-01-12T00:00:00"/>
    <m/>
  </r>
  <r>
    <x v="93"/>
    <n v="185.51"/>
    <s v="Expense"/>
    <x v="3"/>
    <s v="Luiz"/>
    <d v="2025-01-13T00:00:00"/>
    <m/>
  </r>
  <r>
    <x v="94"/>
    <n v="62.699999999999996"/>
    <s v="Expense"/>
    <x v="4"/>
    <s v="Luiz"/>
    <d v="2025-01-15T00:00:00"/>
    <m/>
  </r>
  <r>
    <x v="95"/>
    <n v="75"/>
    <s v="Expense"/>
    <x v="4"/>
    <s v="Luiz"/>
    <d v="2025-01-17T00:00:00"/>
    <m/>
  </r>
  <r>
    <x v="96"/>
    <n v="40.58"/>
    <s v="Expense"/>
    <x v="3"/>
    <s v="Luiz"/>
    <d v="2025-01-21T00:00:00"/>
    <m/>
  </r>
  <r>
    <x v="97"/>
    <n v="36"/>
    <s v="Expense"/>
    <x v="3"/>
    <s v="Luiz"/>
    <d v="2025-01-23T00:00:00"/>
    <m/>
  </r>
  <r>
    <x v="98"/>
    <n v="49.9"/>
    <s v="Expense"/>
    <x v="8"/>
    <s v="Luiz"/>
    <d v="2025-01-24T00:00:00"/>
    <m/>
  </r>
  <r>
    <x v="99"/>
    <n v="32.99"/>
    <s v="Expense"/>
    <x v="7"/>
    <s v="Luiz"/>
    <d v="2025-01-26T00:00:00"/>
    <m/>
  </r>
  <r>
    <x v="100"/>
    <n v="68.17"/>
    <s v="Expense"/>
    <x v="3"/>
    <s v="Luiz"/>
    <d v="2025-01-27T00:00:00"/>
    <m/>
  </r>
  <r>
    <x v="101"/>
    <n v="137.98333333333332"/>
    <s v="Expense"/>
    <x v="3"/>
    <s v="Luiz"/>
    <d v="2025-01-28T00:00:00"/>
    <m/>
  </r>
  <r>
    <x v="102"/>
    <n v="148.75"/>
    <s v="Expense"/>
    <x v="4"/>
    <s v="Luiz"/>
    <d v="2025-01-28T00:00:00"/>
    <m/>
  </r>
  <r>
    <x v="40"/>
    <n v="13.74"/>
    <s v="Expense"/>
    <x v="1"/>
    <s v="Luiz"/>
    <d v="2025-02-28T00:00:00"/>
    <s v="1/1"/>
  </r>
  <r>
    <x v="1"/>
    <n v="18.8"/>
    <s v="Expense"/>
    <x v="1"/>
    <s v="Luiz"/>
    <d v="2025-02-28T00:00:00"/>
    <s v="1/1"/>
  </r>
  <r>
    <x v="1"/>
    <n v="17"/>
    <s v="Expense"/>
    <x v="1"/>
    <s v="Luiz"/>
    <d v="2025-02-28T00:00:00"/>
    <s v="1/1"/>
  </r>
  <r>
    <x v="1"/>
    <n v="14.8"/>
    <s v="Expense"/>
    <x v="1"/>
    <s v="Luiz"/>
    <d v="2025-02-28T00:00:00"/>
    <s v="1/1"/>
  </r>
  <r>
    <x v="46"/>
    <n v="20"/>
    <s v="Expense"/>
    <x v="3"/>
    <s v="Maria"/>
    <d v="2025-02-28T00:00:00"/>
    <s v="1/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x v="0"/>
    <n v="17.95"/>
    <s v="Expense"/>
    <x v="0"/>
    <s v="Luiz"/>
    <d v="2025-03-05T00:00:00"/>
    <s v="1/1"/>
  </r>
  <r>
    <x v="1"/>
    <n v="272"/>
    <s v="Expense"/>
    <x v="1"/>
    <s v="Luiz"/>
    <d v="2025-03-03T00:00:00"/>
    <m/>
  </r>
  <r>
    <x v="2"/>
    <n v="400"/>
    <s v="Expense"/>
    <x v="2"/>
    <s v="Luiz"/>
    <d v="2025-03-03T00:00:00"/>
    <m/>
  </r>
  <r>
    <x v="3"/>
    <n v="289.89999999999998"/>
    <s v="Expense"/>
    <x v="1"/>
    <s v="Maria"/>
    <d v="2025-03-05T00:00:00"/>
    <m/>
  </r>
  <r>
    <x v="4"/>
    <n v="150"/>
    <s v="Expense"/>
    <x v="2"/>
    <s v="Maria"/>
    <d v="2025-03-10T00:00:00"/>
    <m/>
  </r>
  <r>
    <x v="5"/>
    <n v="137.77000000000001"/>
    <s v="Expense"/>
    <x v="3"/>
    <s v="Luiz"/>
    <d v="2025-03-13T00:00:00"/>
    <m/>
  </r>
  <r>
    <x v="6"/>
    <n v="4298"/>
    <s v="Expense"/>
    <x v="4"/>
    <s v="Luiz"/>
    <d v="2025-03-15T00:00:00"/>
    <m/>
  </r>
  <r>
    <x v="7"/>
    <n v="5679.6"/>
    <s v="Income"/>
    <x v="5"/>
    <s v="Maria"/>
    <d v="2025-03-15T00:00:00"/>
    <m/>
  </r>
  <r>
    <x v="8"/>
    <n v="5710.37"/>
    <s v="Income"/>
    <x v="5"/>
    <s v="Luiz"/>
    <d v="2025-03-15T00:00:00"/>
    <m/>
  </r>
  <r>
    <x v="9"/>
    <n v="60"/>
    <s v="Expense"/>
    <x v="2"/>
    <s v="Luiz"/>
    <d v="2025-03-18T00:00:00"/>
    <m/>
  </r>
  <r>
    <x v="10"/>
    <n v="100"/>
    <s v="Expense"/>
    <x v="2"/>
    <s v="Luiz"/>
    <d v="2025-03-25T00:00:00"/>
    <m/>
  </r>
  <r>
    <x v="11"/>
    <n v="49.9"/>
    <s v="Expense"/>
    <x v="6"/>
    <s v="Luiz"/>
    <d v="2025-03-25T00:00:00"/>
    <m/>
  </r>
  <r>
    <x v="12"/>
    <n v="1623.74"/>
    <s v="Expense"/>
    <x v="3"/>
    <s v="Luiz"/>
    <d v="2025-03-30T00:00:00"/>
    <m/>
  </r>
  <r>
    <x v="13"/>
    <n v="604.1"/>
    <s v="Expense"/>
    <x v="3"/>
    <s v="Luiz"/>
    <d v="2025-03-30T00:00:00"/>
    <m/>
  </r>
  <r>
    <x v="14"/>
    <n v="113.7"/>
    <s v="Expense"/>
    <x v="3"/>
    <s v="Luiz"/>
    <d v="2025-03-30T00:00:00"/>
    <m/>
  </r>
  <r>
    <x v="15"/>
    <n v="27.99"/>
    <s v="Expense"/>
    <x v="3"/>
    <s v="Luiz"/>
    <d v="2025-03-30T00:00:00"/>
    <m/>
  </r>
  <r>
    <x v="16"/>
    <n v="4425.41"/>
    <s v="Income"/>
    <x v="5"/>
    <s v="Luiz"/>
    <d v="2025-03-30T00:00:00"/>
    <m/>
  </r>
  <r>
    <x v="17"/>
    <n v="3727.47"/>
    <s v="Income"/>
    <x v="5"/>
    <s v="Maria"/>
    <d v="2025-03-30T00:00:00"/>
    <m/>
  </r>
  <r>
    <x v="18"/>
    <n v="25.9"/>
    <s v="Expense"/>
    <x v="6"/>
    <s v="Luiz"/>
    <d v="2024-05-18T00:00:00"/>
    <m/>
  </r>
  <r>
    <x v="19"/>
    <n v="73.125"/>
    <s v="Expense"/>
    <x v="7"/>
    <s v="Luiz"/>
    <d v="2024-12-03T00:00:00"/>
    <s v="4/12"/>
  </r>
  <r>
    <x v="20"/>
    <n v="46.61"/>
    <s v="Expense"/>
    <x v="8"/>
    <s v="Luiz"/>
    <d v="2024-12-31T00:00:00"/>
    <s v="4/5"/>
  </r>
  <r>
    <x v="21"/>
    <n v="51.68"/>
    <s v="Expense"/>
    <x v="9"/>
    <s v="Luiz"/>
    <d v="2024-12-17T00:00:00"/>
    <s v="4/6"/>
  </r>
  <r>
    <x v="22"/>
    <n v="82.17"/>
    <s v="Expense"/>
    <x v="10"/>
    <s v="Luiz"/>
    <d v="2024-12-31T00:00:00"/>
    <s v="3/3"/>
  </r>
  <r>
    <x v="23"/>
    <n v="346.14"/>
    <s v="Expense"/>
    <x v="11"/>
    <s v="Luiz"/>
    <d v="2024-12-31T00:00:00"/>
    <s v="4/10"/>
  </r>
  <r>
    <x v="24"/>
    <n v="33.36"/>
    <s v="Expense"/>
    <x v="9"/>
    <s v="Luiz"/>
    <d v="2024-12-13T00:00:00"/>
    <s v="4/8"/>
  </r>
  <r>
    <x v="25"/>
    <n v="44.97"/>
    <s v="Expense"/>
    <x v="10"/>
    <s v="Luiz"/>
    <d v="2024-12-31T00:00:00"/>
    <s v="3/3"/>
  </r>
  <r>
    <x v="26"/>
    <n v="27.01"/>
    <s v="Expense"/>
    <x v="8"/>
    <s v="Luiz"/>
    <d v="2024-12-31T00:00:00"/>
    <s v="3/6"/>
  </r>
  <r>
    <x v="27"/>
    <n v="81.819999999999993"/>
    <s v="Expense"/>
    <x v="7"/>
    <s v="Luiz"/>
    <d v="2025-01-05T00:00:00"/>
    <s v="3/3"/>
  </r>
  <r>
    <x v="28"/>
    <n v="91.19"/>
    <s v="Expense"/>
    <x v="8"/>
    <s v="Luiz"/>
    <d v="2025-01-06T00:00:00"/>
    <s v="3/3"/>
  </r>
  <r>
    <x v="29"/>
    <n v="95.62"/>
    <s v="Expense"/>
    <x v="10"/>
    <s v="Luiz"/>
    <d v="2025-01-06T00:00:00"/>
    <s v="3/4"/>
  </r>
  <r>
    <x v="28"/>
    <n v="102.46"/>
    <s v="Expense"/>
    <x v="8"/>
    <s v="Luiz"/>
    <d v="2025-01-06T00:00:00"/>
    <s v="3/3"/>
  </r>
  <r>
    <x v="30"/>
    <n v="68.8"/>
    <s v="Expense"/>
    <x v="8"/>
    <s v="Luiz"/>
    <d v="2025-01-11T00:00:00"/>
    <s v="3/12"/>
  </r>
  <r>
    <x v="31"/>
    <n v="62.699999999999996"/>
    <s v="Expense"/>
    <x v="10"/>
    <s v="Luiz"/>
    <d v="2025-01-15T00:00:00"/>
    <s v="3/3"/>
  </r>
  <r>
    <x v="32"/>
    <n v="75"/>
    <s v="Expense"/>
    <x v="10"/>
    <s v="Luiz"/>
    <d v="2025-01-17T00:00:00"/>
    <s v="3/3"/>
  </r>
  <r>
    <x v="33"/>
    <n v="40.58"/>
    <s v="Expense"/>
    <x v="8"/>
    <s v="Luiz"/>
    <d v="2025-01-21T00:00:00"/>
    <s v="3/3"/>
  </r>
  <r>
    <x v="34"/>
    <n v="36"/>
    <s v="Expense"/>
    <x v="8"/>
    <s v="Luiz"/>
    <d v="2025-01-23T00:00:00"/>
    <s v="3/6"/>
  </r>
  <r>
    <x v="35"/>
    <n v="49.9"/>
    <s v="Expense"/>
    <x v="6"/>
    <s v="Luiz"/>
    <d v="2025-01-24T00:00:00"/>
    <s v="3/12"/>
  </r>
  <r>
    <x v="36"/>
    <n v="32.99"/>
    <s v="Expense"/>
    <x v="9"/>
    <s v="Luiz"/>
    <d v="2025-01-26T00:00:00"/>
    <s v="3/6"/>
  </r>
  <r>
    <x v="37"/>
    <n v="137.98333333333332"/>
    <s v="Expense"/>
    <x v="8"/>
    <s v="Luiz"/>
    <d v="2025-01-28T00:00:00"/>
    <s v="3/3"/>
  </r>
  <r>
    <x v="38"/>
    <n v="148.75"/>
    <s v="Expense"/>
    <x v="10"/>
    <s v="Luiz"/>
    <d v="2025-01-28T00:00:00"/>
    <s v="3/4"/>
  </r>
  <r>
    <x v="39"/>
    <n v="42.021999999999998"/>
    <s v="Expense"/>
    <x v="10"/>
    <s v="Luiz"/>
    <d v="2025-02-03T00:00:00"/>
    <s v="2/5"/>
  </r>
  <r>
    <x v="40"/>
    <n v="17.815999999999999"/>
    <s v="Expense"/>
    <x v="8"/>
    <s v="Luiz"/>
    <d v="2025-02-03T00:00:00"/>
    <s v="2/5"/>
  </r>
  <r>
    <x v="41"/>
    <n v="40.11"/>
    <s v="Expense"/>
    <x v="8"/>
    <s v="Luiz"/>
    <d v="2025-02-10T00:00:00"/>
    <s v="2/2"/>
  </r>
  <r>
    <x v="42"/>
    <n v="42.66"/>
    <s v="Expense"/>
    <x v="9"/>
    <s v="Luiz"/>
    <d v="2025-02-10T00:00:00"/>
    <s v="2/6"/>
  </r>
  <r>
    <x v="43"/>
    <n v="11.87"/>
    <s v="Expense"/>
    <x v="9"/>
    <s v="Maria"/>
    <d v="2025-02-11T00:00:00"/>
    <s v="2/5"/>
  </r>
  <r>
    <x v="44"/>
    <n v="33.166666666666664"/>
    <s v="Expense"/>
    <x v="12"/>
    <s v="Luiz"/>
    <d v="2025-02-13T00:00:00"/>
    <s v="2/6"/>
  </r>
  <r>
    <x v="45"/>
    <n v="5.88"/>
    <s v="Expense"/>
    <x v="9"/>
    <s v="Maria"/>
    <d v="2025-02-17T00:00:00"/>
    <s v="2/5"/>
  </r>
  <r>
    <x v="46"/>
    <n v="123.75"/>
    <s v="Expense"/>
    <x v="10"/>
    <s v="Luiz"/>
    <d v="2025-02-17T00:00:00"/>
    <s v="2/2"/>
  </r>
  <r>
    <x v="47"/>
    <n v="116.33"/>
    <s v="Expense"/>
    <x v="9"/>
    <s v="Luiz"/>
    <d v="2025-02-22T00:00:00"/>
    <s v="2/6"/>
  </r>
  <r>
    <x v="48"/>
    <n v="84.95"/>
    <s v="Expense"/>
    <x v="8"/>
    <s v="Luiz"/>
    <d v="2025-02-22T00:00:00"/>
    <s v="2/2"/>
  </r>
  <r>
    <x v="49"/>
    <n v="20"/>
    <s v="Expense"/>
    <x v="7"/>
    <s v="Luiz"/>
    <d v="2025-03-01T00:00:00"/>
    <s v="1/1"/>
  </r>
  <r>
    <x v="50"/>
    <n v="58.41"/>
    <s v="Expense"/>
    <x v="13"/>
    <s v="Luiz"/>
    <d v="2025-03-01T00:00:00"/>
    <s v="1/1"/>
  </r>
  <r>
    <x v="51"/>
    <n v="91.98"/>
    <s v="Expense"/>
    <x v="7"/>
    <s v="Luiz"/>
    <d v="2025-03-02T00:00:00"/>
    <s v="1/1"/>
  </r>
  <r>
    <x v="52"/>
    <n v="39.134999999999998"/>
    <s v="Expense"/>
    <x v="8"/>
    <s v="Luiz"/>
    <d v="2025-03-02T00:00:00"/>
    <s v="1/12"/>
  </r>
  <r>
    <x v="53"/>
    <n v="54.02"/>
    <s v="Expense"/>
    <x v="10"/>
    <s v="Luiz"/>
    <d v="2025-03-03T00:00:00"/>
    <s v="1/1"/>
  </r>
  <r>
    <x v="54"/>
    <n v="173.72499999999999"/>
    <s v="Expense"/>
    <x v="10"/>
    <s v="Luiz"/>
    <d v="2025-03-03T00:00:00"/>
    <s v="1/4"/>
  </r>
  <r>
    <x v="55"/>
    <n v="73.8"/>
    <s v="Expense"/>
    <x v="13"/>
    <s v="Luiz"/>
    <d v="2025-03-03T00:00:00"/>
    <s v="1/1"/>
  </r>
  <r>
    <x v="51"/>
    <n v="49.11"/>
    <s v="Expense"/>
    <x v="7"/>
    <s v="Luiz"/>
    <d v="2025-03-03T00:00:00"/>
    <s v="1/1"/>
  </r>
  <r>
    <x v="56"/>
    <n v="86.833333333333329"/>
    <s v="Expense"/>
    <x v="10"/>
    <s v="Luiz"/>
    <d v="2025-03-03T00:00:00"/>
    <s v="1/3"/>
  </r>
  <r>
    <x v="57"/>
    <n v="57.179999999999993"/>
    <s v="Expense"/>
    <x v="8"/>
    <s v="Luiz"/>
    <d v="2025-03-03T00:00:00"/>
    <s v="1/5"/>
  </r>
  <r>
    <x v="58"/>
    <n v="51.137500000000003"/>
    <s v="Expense"/>
    <x v="9"/>
    <s v="Luiz"/>
    <d v="2025-03-03T00:00:00"/>
    <s v="1/4"/>
  </r>
  <r>
    <x v="59"/>
    <n v="39.96"/>
    <s v="Expense"/>
    <x v="7"/>
    <s v="Luiz"/>
    <d v="2025-03-04T00:00:00"/>
    <s v="1/1"/>
  </r>
  <r>
    <x v="60"/>
    <n v="332"/>
    <s v="Expense"/>
    <x v="13"/>
    <s v="Luiz"/>
    <d v="2025-03-04T00:00:00"/>
    <s v="1/1"/>
  </r>
  <r>
    <x v="60"/>
    <n v="18"/>
    <s v="Expense"/>
    <x v="13"/>
    <s v="Luiz"/>
    <d v="2025-03-04T00:00:00"/>
    <s v="1/1"/>
  </r>
  <r>
    <x v="61"/>
    <n v="52.99"/>
    <s v="Expense"/>
    <x v="1"/>
    <s v="Luiz"/>
    <d v="2025-03-05T00:00:00"/>
    <s v="1/4"/>
  </r>
  <r>
    <x v="62"/>
    <n v="650"/>
    <s v="Expense"/>
    <x v="14"/>
    <s v="Maria"/>
    <d v="2025-03-01T00:00:00"/>
    <s v="1/1"/>
  </r>
  <r>
    <x v="0"/>
    <n v="14.3"/>
    <s v="Expense"/>
    <x v="0"/>
    <s v="Luiz"/>
    <d v="2025-03-01T00:00:00"/>
    <s v="1/1"/>
  </r>
  <r>
    <x v="0"/>
    <n v="15"/>
    <s v="Expense"/>
    <x v="0"/>
    <s v="Luiz"/>
    <d v="2025-03-01T00:00:00"/>
    <s v="1/1"/>
  </r>
  <r>
    <x v="63"/>
    <n v="173"/>
    <s v="Expense"/>
    <x v="8"/>
    <s v="Maria"/>
    <d v="2025-03-01T00:00:00"/>
    <s v="1/1"/>
  </r>
  <r>
    <x v="64"/>
    <n v="35"/>
    <s v="Expense"/>
    <x v="14"/>
    <s v="Maria"/>
    <d v="2025-03-04T00:00:00"/>
    <s v="1/1"/>
  </r>
  <r>
    <x v="0"/>
    <n v="9.1"/>
    <s v="Expense"/>
    <x v="0"/>
    <s v="Luiz"/>
    <d v="2025-03-05T00:00:00"/>
    <s v="1/1"/>
  </r>
  <r>
    <x v="0"/>
    <n v="7.9"/>
    <s v="Expense"/>
    <x v="0"/>
    <s v="Luiz"/>
    <d v="2025-03-05T00:00:00"/>
    <s v="1/1"/>
  </r>
  <r>
    <x v="0"/>
    <n v="18.600000000000001"/>
    <s v="Expense"/>
    <x v="0"/>
    <s v="Luiz"/>
    <d v="2025-03-05T00:00:00"/>
    <s v="1/1"/>
  </r>
  <r>
    <x v="65"/>
    <n v="26.83"/>
    <s v="Expense"/>
    <x v="10"/>
    <s v="Luiz"/>
    <d v="2025-03-05T00:00:00"/>
    <s v="1/1"/>
  </r>
  <r>
    <x v="59"/>
    <n v="19.989999999999998"/>
    <s v="Expense"/>
    <x v="7"/>
    <s v="Maria"/>
    <d v="2025-03-05T00:00:00"/>
    <s v="1/1"/>
  </r>
  <r>
    <x v="66"/>
    <n v="5"/>
    <s v="Expense"/>
    <x v="2"/>
    <s v="Luiz"/>
    <d v="2025-03-06T00:00:00"/>
    <s v="1/1"/>
  </r>
  <r>
    <x v="0"/>
    <n v="15.7"/>
    <s v="Expense"/>
    <x v="0"/>
    <s v="Luiz"/>
    <d v="2025-03-06T00:00:00"/>
    <s v="1/1"/>
  </r>
  <r>
    <x v="0"/>
    <n v="11.8"/>
    <s v="Expense"/>
    <x v="0"/>
    <s v="Luiz"/>
    <d v="2025-03-06T00:00:00"/>
    <s v="1/1"/>
  </r>
  <r>
    <x v="67"/>
    <n v="20"/>
    <s v="Expense"/>
    <x v="7"/>
    <s v="Luiz"/>
    <d v="2025-03-06T00:00:00"/>
    <s v="1/1"/>
  </r>
  <r>
    <x v="64"/>
    <n v="40"/>
    <s v="Expense"/>
    <x v="14"/>
    <s v="Luiz"/>
    <d v="2025-03-06T00:00:00"/>
    <s v="1/1"/>
  </r>
  <r>
    <x v="68"/>
    <n v="172"/>
    <s v="Expense"/>
    <x v="8"/>
    <s v="Maria"/>
    <d v="2025-03-08T00:00:00"/>
    <s v="1/1"/>
  </r>
  <r>
    <x v="69"/>
    <n v="28.99"/>
    <s v="Expense"/>
    <x v="9"/>
    <s v="Maria"/>
    <d v="2025-03-07T00:00:00"/>
    <s v="1/1"/>
  </r>
  <r>
    <x v="70"/>
    <n v="131.80000000000001"/>
    <s v="Expense"/>
    <x v="13"/>
    <s v="Maria"/>
    <d v="2025-03-07T00:00:00"/>
    <s v="1/1"/>
  </r>
  <r>
    <x v="71"/>
    <n v="75.900000000000006"/>
    <s v="Expense"/>
    <x v="13"/>
    <s v="Luiz"/>
    <d v="2025-03-07T00:00:00"/>
    <s v="1/1"/>
  </r>
  <r>
    <x v="0"/>
    <n v="33.96"/>
    <s v="Expense"/>
    <x v="0"/>
    <s v="Maria"/>
    <d v="2025-03-09T00:00:00"/>
    <s v="1/1"/>
  </r>
  <r>
    <x v="0"/>
    <n v="37.96"/>
    <s v="Expense"/>
    <x v="0"/>
    <s v="Luiz"/>
    <d v="2025-03-09T00:00:00"/>
    <s v="1/1"/>
  </r>
  <r>
    <x v="72"/>
    <n v="18"/>
    <s v="Expense"/>
    <x v="0"/>
    <s v="Luiz"/>
    <d v="2025-03-08T00:00:00"/>
    <s v="1/1"/>
  </r>
  <r>
    <x v="68"/>
    <n v="80"/>
    <s v="Expense"/>
    <x v="8"/>
    <s v="Maria"/>
    <d v="2025-03-10T00:00:00"/>
    <s v="1/1"/>
  </r>
  <r>
    <x v="0"/>
    <n v="20.12"/>
    <s v="Expense"/>
    <x v="0"/>
    <s v="Luiz"/>
    <d v="2025-03-10T00:00:00"/>
    <s v="1/1"/>
  </r>
  <r>
    <x v="73"/>
    <n v="105.8"/>
    <s v="Expense"/>
    <x v="8"/>
    <s v="Luiz"/>
    <d v="2025-03-11T00:00:00"/>
    <s v="1/1"/>
  </r>
  <r>
    <x v="67"/>
    <n v="20"/>
    <s v="Expense"/>
    <x v="7"/>
    <s v="Luiz"/>
    <d v="2025-03-11T00:00:00"/>
    <s v="1/1"/>
  </r>
  <r>
    <x v="74"/>
    <n v="71.06"/>
    <s v="Expense"/>
    <x v="3"/>
    <s v="Luiz"/>
    <d v="2025-03-13T00:00:00"/>
    <s v="1/1"/>
  </r>
  <r>
    <x v="75"/>
    <n v="69.900000000000006"/>
    <s v="Expense"/>
    <x v="8"/>
    <s v="Maria"/>
    <d v="2025-03-13T00:00:00"/>
    <s v="1/1"/>
  </r>
  <r>
    <x v="0"/>
    <n v="9.7100000000000009"/>
    <s v="Expense"/>
    <x v="0"/>
    <s v="Luiz"/>
    <d v="2025-03-14T00:00:00"/>
    <s v="1/1"/>
  </r>
  <r>
    <x v="0"/>
    <n v="15.7"/>
    <s v="Expense"/>
    <x v="0"/>
    <s v="Luiz"/>
    <d v="2025-03-15T00:00:00"/>
    <s v="1/1"/>
  </r>
  <r>
    <x v="0"/>
    <n v="21.7"/>
    <s v="Expense"/>
    <x v="0"/>
    <s v="Luiz"/>
    <d v="2025-03-15T00:00:00"/>
    <s v="1/1"/>
  </r>
  <r>
    <x v="76"/>
    <n v="84"/>
    <s v="Expense"/>
    <x v="14"/>
    <s v="Maria"/>
    <d v="2025-03-15T00:00:00"/>
    <s v="1/1"/>
  </r>
  <r>
    <x v="77"/>
    <n v="92"/>
    <s v="Expense"/>
    <x v="8"/>
    <s v="Maria"/>
    <d v="2025-03-15T00:00:00"/>
    <s v="1/1"/>
  </r>
  <r>
    <x v="78"/>
    <n v="24.9"/>
    <s v="Expense"/>
    <x v="9"/>
    <s v="Maria"/>
    <d v="2025-03-15T00:00:00"/>
    <s v="1/1"/>
  </r>
  <r>
    <x v="79"/>
    <n v="27.408333333333331"/>
    <s v="Expense"/>
    <x v="9"/>
    <s v="Luiz"/>
    <d v="2025-03-15T00:00:00"/>
    <s v="1/6"/>
  </r>
  <r>
    <x v="80"/>
    <n v="27.406666666666666"/>
    <s v="Expense"/>
    <x v="10"/>
    <s v="Luiz"/>
    <d v="2025-03-15T00:00:00"/>
    <s v="1/6"/>
  </r>
  <r>
    <x v="0"/>
    <n v="35.9"/>
    <s v="Expense"/>
    <x v="0"/>
    <s v="Luiz"/>
    <d v="2025-03-15T00:00:00"/>
    <s v="1/1"/>
  </r>
  <r>
    <x v="81"/>
    <n v="36.5"/>
    <s v="Expense"/>
    <x v="13"/>
    <s v="Luiz"/>
    <d v="2025-03-16T00:00:00"/>
    <s v="1/1"/>
  </r>
  <r>
    <x v="82"/>
    <n v="40"/>
    <s v="Expense"/>
    <x v="9"/>
    <s v="Maria"/>
    <d v="2025-03-16T00:00:00"/>
    <s v="1/1"/>
  </r>
  <r>
    <x v="83"/>
    <n v="66.87"/>
    <s v="Expense"/>
    <x v="10"/>
    <s v="Maria"/>
    <d v="2025-03-16T00:00:00"/>
    <s v="1/1"/>
  </r>
  <r>
    <x v="84"/>
    <n v="64.89"/>
    <s v="Expense"/>
    <x v="13"/>
    <s v="Maria"/>
    <d v="2025-03-16T00:00:00"/>
    <s v="1/1"/>
  </r>
  <r>
    <x v="67"/>
    <n v="20"/>
    <s v="Expense"/>
    <x v="7"/>
    <s v="Luiz"/>
    <d v="2025-03-17T00:00:00"/>
    <s v="1/1"/>
  </r>
  <r>
    <x v="85"/>
    <n v="19.899999999999999"/>
    <s v="Expense"/>
    <x v="6"/>
    <s v="Luiz"/>
    <d v="2025-03-17T00:00:00"/>
    <s v="1/1"/>
  </r>
  <r>
    <x v="86"/>
    <n v="36.907499999999999"/>
    <s v="Expense"/>
    <x v="8"/>
    <s v="Maria"/>
    <d v="2025-03-18T00:00:00"/>
    <s v="1/12"/>
  </r>
  <r>
    <x v="87"/>
    <n v="133.25"/>
    <s v="Expense"/>
    <x v="8"/>
    <s v="Maria"/>
    <d v="2025-03-18T00:00:00"/>
    <s v="1/12"/>
  </r>
  <r>
    <x v="88"/>
    <n v="85.79"/>
    <s v="Expense"/>
    <x v="7"/>
    <s v="Maria"/>
    <d v="2025-03-18T00:00:00"/>
    <s v="1/1"/>
  </r>
  <r>
    <x v="89"/>
    <n v="50"/>
    <s v="Expense"/>
    <x v="0"/>
    <s v="Luiz"/>
    <d v="2025-03-19T00:00:00"/>
    <s v="1/1"/>
  </r>
  <r>
    <x v="0"/>
    <n v="9.7100000000000009"/>
    <s v="Expense"/>
    <x v="0"/>
    <s v="Luiz"/>
    <d v="2025-03-20T00:00:00"/>
    <s v="1/1"/>
  </r>
  <r>
    <x v="0"/>
    <n v="9.7100000000000009"/>
    <s v="Expense"/>
    <x v="0"/>
    <s v="Luiz"/>
    <d v="2025-03-20T00:00:00"/>
    <s v="1/1"/>
  </r>
  <r>
    <x v="90"/>
    <n v="255.09"/>
    <s v="Expense"/>
    <x v="0"/>
    <s v="Luiz"/>
    <d v="2025-03-20T00:00:00"/>
    <s v="1/1"/>
  </r>
  <r>
    <x v="59"/>
    <n v="67.959999999999994"/>
    <s v="Expense"/>
    <x v="7"/>
    <s v="Maria"/>
    <d v="2025-03-21T00:00:00"/>
    <s v="1/1"/>
  </r>
  <r>
    <x v="91"/>
    <n v="86.54"/>
    <s v="Expense"/>
    <x v="9"/>
    <s v="Maria"/>
    <d v="2025-03-22T00:00:00"/>
    <s v="1/3"/>
  </r>
  <r>
    <x v="92"/>
    <n v="199.9"/>
    <s v="Expense"/>
    <x v="9"/>
    <s v="Maria"/>
    <d v="2025-03-22T00:00:00"/>
    <s v="1/1"/>
  </r>
  <r>
    <x v="0"/>
    <n v="27.35"/>
    <s v="Expense"/>
    <x v="0"/>
    <s v="Maria"/>
    <d v="2025-03-22T00:00:00"/>
    <s v="1/1"/>
  </r>
  <r>
    <x v="93"/>
    <n v="188.24"/>
    <s v="Expense"/>
    <x v="13"/>
    <s v="Maria"/>
    <d v="2025-03-22T00:00:00"/>
    <s v="1/1"/>
  </r>
  <r>
    <x v="0"/>
    <n v="18.8"/>
    <s v="Expense"/>
    <x v="0"/>
    <s v="Luiz"/>
    <d v="2025-03-22T00:00:00"/>
    <s v="1/1"/>
  </r>
  <r>
    <x v="83"/>
    <n v="1.69"/>
    <s v="Expense"/>
    <x v="10"/>
    <s v="Luiz"/>
    <d v="2025-03-22T00:00:00"/>
    <s v="1/1"/>
  </r>
  <r>
    <x v="83"/>
    <n v="81.03"/>
    <s v="Expense"/>
    <x v="10"/>
    <s v="Luiz"/>
    <d v="2025-03-22T00:00:00"/>
    <s v="1/2"/>
  </r>
  <r>
    <x v="59"/>
    <n v="16.920000000000002"/>
    <s v="Expense"/>
    <x v="7"/>
    <s v="Maria"/>
    <d v="2025-03-23T00:00:00"/>
    <s v="1/1"/>
  </r>
  <r>
    <x v="94"/>
    <n v="62"/>
    <s v="Expense"/>
    <x v="13"/>
    <s v="Luiz"/>
    <d v="2025-03-23T00:00:00"/>
    <s v="1/1"/>
  </r>
  <r>
    <x v="51"/>
    <n v="45.99"/>
    <s v="Expense"/>
    <x v="13"/>
    <s v="Luiz"/>
    <d v="2025-03-23T00:00:00"/>
    <s v="1/1"/>
  </r>
  <r>
    <x v="83"/>
    <n v="13.16"/>
    <s v="Expense"/>
    <x v="10"/>
    <s v="Luiz"/>
    <d v="2025-03-23T00:00:00"/>
    <s v="1/1"/>
  </r>
  <r>
    <x v="0"/>
    <n v="11.15"/>
    <s v="Expense"/>
    <x v="0"/>
    <s v="Luiz"/>
    <d v="2025-03-24T00:00:00"/>
    <s v="1/1"/>
  </r>
  <r>
    <x v="0"/>
    <n v="9.4"/>
    <s v="Expense"/>
    <x v="0"/>
    <s v="Luiz"/>
    <d v="2025-03-24T00:00:00"/>
    <s v="1/1"/>
  </r>
  <r>
    <x v="0"/>
    <n v="8.1"/>
    <s v="Expense"/>
    <x v="0"/>
    <s v="Luiz"/>
    <d v="2025-03-24T00:00:00"/>
    <s v="1/1"/>
  </r>
  <r>
    <x v="88"/>
    <n v="12.96"/>
    <s v="Expense"/>
    <x v="7"/>
    <s v="Maria"/>
    <d v="2025-03-24T00:00:00"/>
    <s v="1/1"/>
  </r>
  <r>
    <x v="59"/>
    <n v="82.84"/>
    <s v="Expense"/>
    <x v="7"/>
    <s v="Maria"/>
    <d v="2025-03-24T00:00:00"/>
    <s v="1/1"/>
  </r>
  <r>
    <x v="95"/>
    <n v="8"/>
    <s v="Expense"/>
    <x v="9"/>
    <s v="Maria"/>
    <d v="2025-03-25T00:00:00"/>
    <s v="1/1"/>
  </r>
  <r>
    <x v="96"/>
    <n v="54.991666666666667"/>
    <s v="Expense"/>
    <x v="9"/>
    <s v="Luiz"/>
    <d v="2025-03-26T00:00:00"/>
    <s v="1/6"/>
  </r>
  <r>
    <x v="97"/>
    <n v="87.19"/>
    <s v="Expense"/>
    <x v="13"/>
    <s v="Maria"/>
    <d v="2025-03-26T00:00:00"/>
    <s v="1/1"/>
  </r>
  <r>
    <x v="98"/>
    <n v="12.9"/>
    <s v="Expense"/>
    <x v="6"/>
    <s v="Luiz"/>
    <d v="2025-03-28T00:00:00"/>
    <s v="1/1"/>
  </r>
  <r>
    <x v="99"/>
    <n v="97"/>
    <s v="Expense"/>
    <x v="13"/>
    <s v="Luiz"/>
    <d v="2025-03-28T00:00:00"/>
    <s v="1/1"/>
  </r>
  <r>
    <x v="100"/>
    <n v="39"/>
    <s v="Expense"/>
    <x v="9"/>
    <s v="Luiz"/>
    <d v="2025-03-29T00:00:00"/>
    <s v="1/1"/>
  </r>
  <r>
    <x v="51"/>
    <n v="25.4"/>
    <s v="Expense"/>
    <x v="7"/>
    <s v="Maria"/>
    <d v="2025-03-29T00:00:00"/>
    <s v="1/1"/>
  </r>
  <r>
    <x v="101"/>
    <n v="59"/>
    <s v="Expense"/>
    <x v="9"/>
    <s v="Maria"/>
    <d v="2025-03-29T00:00:00"/>
    <s v="1/1"/>
  </r>
  <r>
    <x v="102"/>
    <n v="40"/>
    <s v="Expense"/>
    <x v="7"/>
    <s v="Luiz"/>
    <d v="2025-03-28T00:00:00"/>
    <s v="1/1"/>
  </r>
  <r>
    <x v="51"/>
    <n v="45.99"/>
    <s v="Expense"/>
    <x v="7"/>
    <s v="Luiz"/>
    <d v="2025-03-30T00:00:00"/>
    <s v="1/1"/>
  </r>
  <r>
    <x v="103"/>
    <n v="99.596666666666678"/>
    <s v="Expense"/>
    <x v="9"/>
    <s v="Luiz"/>
    <d v="2025-03-30T00:00:00"/>
    <s v="1/3"/>
  </r>
  <r>
    <x v="104"/>
    <n v="200"/>
    <s v="Expense"/>
    <x v="2"/>
    <s v="Luiz"/>
    <d v="2025-03-21T00:00:00"/>
    <s v="1/1"/>
  </r>
  <r>
    <x v="105"/>
    <n v="250"/>
    <s v="Expense"/>
    <x v="2"/>
    <s v="Maria"/>
    <d v="2025-03-31T00:00:00"/>
    <s v="1/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">
  <r>
    <x v="0"/>
    <n v="102"/>
    <s v="Expense"/>
    <x v="0"/>
    <s v="Luiz"/>
    <d v="2025-04-03T00:00:00"/>
    <m/>
  </r>
  <r>
    <x v="1"/>
    <n v="400"/>
    <s v="Expense"/>
    <x v="1"/>
    <s v="Luiz"/>
    <d v="2025-04-03T00:00:00"/>
    <m/>
  </r>
  <r>
    <x v="2"/>
    <n v="289.89999999999998"/>
    <s v="Expense"/>
    <x v="0"/>
    <s v="Maria"/>
    <d v="2025-04-05T00:00:00"/>
    <m/>
  </r>
  <r>
    <x v="3"/>
    <n v="150"/>
    <s v="Expense"/>
    <x v="1"/>
    <s v="Maria"/>
    <d v="2025-04-10T00:00:00"/>
    <m/>
  </r>
  <r>
    <x v="4"/>
    <n v="180.3"/>
    <s v="Expense"/>
    <x v="2"/>
    <s v="Luiz"/>
    <d v="2025-04-13T00:00:00"/>
    <m/>
  </r>
  <r>
    <x v="5"/>
    <n v="4590.3"/>
    <s v="Expense"/>
    <x v="3"/>
    <s v="Luiz"/>
    <d v="2025-04-15T00:00:00"/>
    <m/>
  </r>
  <r>
    <x v="6"/>
    <n v="5679.6"/>
    <s v="Income"/>
    <x v="4"/>
    <s v="Maria"/>
    <d v="2025-04-15T00:00:00"/>
    <m/>
  </r>
  <r>
    <x v="7"/>
    <n v="5710.37"/>
    <s v="Income"/>
    <x v="4"/>
    <s v="Luiz"/>
    <d v="2025-04-15T00:00:00"/>
    <m/>
  </r>
  <r>
    <x v="8"/>
    <n v="60"/>
    <s v="Expense"/>
    <x v="1"/>
    <s v="Luiz"/>
    <d v="2025-04-18T00:00:00"/>
    <m/>
  </r>
  <r>
    <x v="9"/>
    <n v="100"/>
    <s v="Expense"/>
    <x v="1"/>
    <s v="Luiz"/>
    <d v="2025-04-25T00:00:00"/>
    <m/>
  </r>
  <r>
    <x v="10"/>
    <n v="49.9"/>
    <s v="Expense"/>
    <x v="5"/>
    <s v="Luiz"/>
    <d v="2025-04-25T00:00:00"/>
    <m/>
  </r>
  <r>
    <x v="11"/>
    <n v="12.9"/>
    <s v="Expense"/>
    <x v="5"/>
    <s v="Luiz"/>
    <d v="2025-04-28T00:00:00"/>
    <m/>
  </r>
  <r>
    <x v="12"/>
    <m/>
    <s v="Expense"/>
    <x v="2"/>
    <s v="Luiz"/>
    <d v="2025-04-30T00:00:00"/>
    <m/>
  </r>
  <r>
    <x v="13"/>
    <n v="604.1"/>
    <s v="Expense"/>
    <x v="2"/>
    <s v="Luiz"/>
    <d v="2025-04-30T00:00:00"/>
    <m/>
  </r>
  <r>
    <x v="14"/>
    <n v="113.7"/>
    <s v="Expense"/>
    <x v="2"/>
    <s v="Luiz"/>
    <d v="2025-04-30T00:00:00"/>
    <m/>
  </r>
  <r>
    <x v="15"/>
    <n v="14.62"/>
    <s v="Expense"/>
    <x v="2"/>
    <s v="Luiz"/>
    <d v="2025-04-30T00:00:00"/>
    <m/>
  </r>
  <r>
    <x v="16"/>
    <n v="4266.25"/>
    <s v="Income"/>
    <x v="4"/>
    <s v="Luiz"/>
    <d v="2025-04-30T00:00:00"/>
    <m/>
  </r>
  <r>
    <x v="17"/>
    <n v="3695.72"/>
    <s v="Income"/>
    <x v="4"/>
    <s v="Maria"/>
    <d v="2025-04-30T00:00:00"/>
    <m/>
  </r>
  <r>
    <x v="18"/>
    <n v="25.9"/>
    <s v="Expense"/>
    <x v="5"/>
    <s v="Luiz"/>
    <d v="2025-05-18T00:00:00"/>
    <m/>
  </r>
  <r>
    <x v="19"/>
    <n v="73.125"/>
    <s v="Expense"/>
    <x v="6"/>
    <s v="Luiz"/>
    <d v="2024-12-03T00:00:00"/>
    <s v="5/12"/>
  </r>
  <r>
    <x v="20"/>
    <n v="46.61"/>
    <s v="Expense"/>
    <x v="7"/>
    <s v="Luiz"/>
    <d v="2024-12-31T00:00:00"/>
    <s v="5/5"/>
  </r>
  <r>
    <x v="21"/>
    <n v="51.68"/>
    <s v="Expense"/>
    <x v="8"/>
    <s v="Luiz"/>
    <d v="2024-12-17T00:00:00"/>
    <s v="5/6"/>
  </r>
  <r>
    <x v="22"/>
    <n v="346.14"/>
    <s v="Expense"/>
    <x v="9"/>
    <s v="Luiz"/>
    <d v="2024-12-31T00:00:00"/>
    <s v="5/10"/>
  </r>
  <r>
    <x v="23"/>
    <n v="33.36"/>
    <s v="Expense"/>
    <x v="8"/>
    <s v="Luiz"/>
    <d v="2024-12-13T00:00:00"/>
    <s v="5/8"/>
  </r>
  <r>
    <x v="24"/>
    <n v="27.01"/>
    <s v="Expense"/>
    <x v="7"/>
    <s v="Luiz"/>
    <d v="2024-12-31T00:00:00"/>
    <s v="4/6"/>
  </r>
  <r>
    <x v="25"/>
    <n v="95.62"/>
    <s v="Expense"/>
    <x v="10"/>
    <s v="Luiz"/>
    <d v="2025-01-06T00:00:00"/>
    <s v="4/4"/>
  </r>
  <r>
    <x v="26"/>
    <n v="68.8"/>
    <s v="Expense"/>
    <x v="7"/>
    <s v="Luiz"/>
    <d v="2025-01-11T00:00:00"/>
    <s v="4/12"/>
  </r>
  <r>
    <x v="27"/>
    <n v="36"/>
    <s v="Expense"/>
    <x v="7"/>
    <s v="Luiz"/>
    <d v="2025-01-23T00:00:00"/>
    <s v="4/6"/>
  </r>
  <r>
    <x v="28"/>
    <n v="49.9"/>
    <s v="Expense"/>
    <x v="5"/>
    <s v="Luiz"/>
    <d v="2025-01-24T00:00:00"/>
    <s v="4/12"/>
  </r>
  <r>
    <x v="29"/>
    <n v="32.99"/>
    <s v="Expense"/>
    <x v="8"/>
    <s v="Luiz"/>
    <d v="2025-01-26T00:00:00"/>
    <s v="4/6"/>
  </r>
  <r>
    <x v="30"/>
    <n v="148.75"/>
    <s v="Expense"/>
    <x v="10"/>
    <s v="Luiz"/>
    <d v="2025-01-28T00:00:00"/>
    <s v="4/4"/>
  </r>
  <r>
    <x v="31"/>
    <n v="42.021999999999998"/>
    <s v="Expense"/>
    <x v="10"/>
    <s v="Luiz"/>
    <d v="2025-02-03T00:00:00"/>
    <s v="3/5"/>
  </r>
  <r>
    <x v="32"/>
    <n v="17.815999999999999"/>
    <s v="Expense"/>
    <x v="7"/>
    <s v="Luiz"/>
    <d v="2025-02-03T00:00:00"/>
    <s v="3/5"/>
  </r>
  <r>
    <x v="33"/>
    <n v="42.66"/>
    <s v="Expense"/>
    <x v="8"/>
    <s v="Luiz"/>
    <d v="2025-02-10T00:00:00"/>
    <s v="3/6"/>
  </r>
  <r>
    <x v="34"/>
    <n v="11.87"/>
    <s v="Expense"/>
    <x v="8"/>
    <s v="Maria"/>
    <d v="2025-02-11T00:00:00"/>
    <s v="3/5"/>
  </r>
  <r>
    <x v="35"/>
    <n v="33.166666666666664"/>
    <s v="Expense"/>
    <x v="11"/>
    <s v="Luiz"/>
    <d v="2025-02-13T00:00:00"/>
    <s v="3/6"/>
  </r>
  <r>
    <x v="36"/>
    <n v="5.88"/>
    <s v="Expense"/>
    <x v="8"/>
    <s v="Maria"/>
    <d v="2025-02-17T00:00:00"/>
    <s v="3/5"/>
  </r>
  <r>
    <x v="37"/>
    <n v="116.33"/>
    <s v="Expense"/>
    <x v="8"/>
    <s v="Luiz"/>
    <d v="2025-02-22T00:00:00"/>
    <s v="3/6"/>
  </r>
  <r>
    <x v="38"/>
    <n v="39.134999999999998"/>
    <s v="Expense"/>
    <x v="7"/>
    <s v="Luiz"/>
    <d v="2025-03-02T00:00:00"/>
    <s v="2/12"/>
  </r>
  <r>
    <x v="39"/>
    <n v="173.72499999999999"/>
    <s v="Expense"/>
    <x v="10"/>
    <s v="Luiz"/>
    <d v="2025-03-03T00:00:00"/>
    <s v="2/4"/>
  </r>
  <r>
    <x v="40"/>
    <n v="86.833333333333329"/>
    <s v="Expense"/>
    <x v="10"/>
    <s v="Luiz"/>
    <d v="2025-03-03T00:00:00"/>
    <s v="2/3"/>
  </r>
  <r>
    <x v="41"/>
    <n v="57.179999999999993"/>
    <s v="Expense"/>
    <x v="7"/>
    <s v="Luiz"/>
    <d v="2025-03-03T00:00:00"/>
    <s v="2/5"/>
  </r>
  <r>
    <x v="42"/>
    <n v="51.137500000000003"/>
    <s v="Expense"/>
    <x v="8"/>
    <s v="Luiz"/>
    <d v="2025-03-03T00:00:00"/>
    <s v="2/4"/>
  </r>
  <r>
    <x v="43"/>
    <n v="52.987499999999997"/>
    <s v="Expense"/>
    <x v="0"/>
    <s v="Luiz"/>
    <d v="2025-03-05T00:00:00"/>
    <s v="2/4"/>
  </r>
  <r>
    <x v="44"/>
    <n v="27.408333333333331"/>
    <s v="Expense"/>
    <x v="8"/>
    <s v="Luiz"/>
    <d v="2025-03-15T00:00:00"/>
    <s v="2/6"/>
  </r>
  <r>
    <x v="45"/>
    <n v="27.406666666666666"/>
    <s v="Expense"/>
    <x v="10"/>
    <s v="Luiz"/>
    <d v="2025-03-15T00:00:00"/>
    <s v="2/6"/>
  </r>
  <r>
    <x v="46"/>
    <n v="36.907499999999999"/>
    <s v="Expense"/>
    <x v="7"/>
    <s v="Maria"/>
    <d v="2025-03-18T00:00:00"/>
    <s v="2/12"/>
  </r>
  <r>
    <x v="47"/>
    <n v="133.25"/>
    <s v="Expense"/>
    <x v="7"/>
    <s v="Maria"/>
    <d v="2025-03-18T00:00:00"/>
    <s v="2/12"/>
  </r>
  <r>
    <x v="48"/>
    <n v="86.54"/>
    <s v="Expense"/>
    <x v="8"/>
    <s v="Maria"/>
    <d v="2025-03-22T00:00:00"/>
    <s v="2/3"/>
  </r>
  <r>
    <x v="49"/>
    <n v="81.03"/>
    <s v="Expense"/>
    <x v="10"/>
    <s v="Luiz"/>
    <d v="2025-03-22T00:00:00"/>
    <s v="2/2"/>
  </r>
  <r>
    <x v="50"/>
    <n v="54.991666666666667"/>
    <s v="Expense"/>
    <x v="8"/>
    <s v="Luiz"/>
    <d v="2025-03-26T00:00:00"/>
    <s v="2/6"/>
  </r>
  <r>
    <x v="51"/>
    <n v="99.596666666666678"/>
    <s v="Expense"/>
    <x v="8"/>
    <s v="Luiz"/>
    <d v="2025-03-30T00:00:00"/>
    <s v="2/3"/>
  </r>
  <r>
    <x v="52"/>
    <n v="7.5"/>
    <s v="Expense"/>
    <x v="10"/>
    <s v="Luiz"/>
    <d v="2025-03-31T00:00:00"/>
    <s v="1/1"/>
  </r>
  <r>
    <x v="53"/>
    <n v="15"/>
    <s v="Expense"/>
    <x v="6"/>
    <s v="Maria"/>
    <d v="2025-04-01T00:00:00"/>
    <s v="1/1"/>
  </r>
  <r>
    <x v="54"/>
    <n v="36.6"/>
    <s v="Expense"/>
    <x v="8"/>
    <s v="Maria"/>
    <d v="2025-04-02T00:00:00"/>
    <s v="1/1"/>
  </r>
  <r>
    <x v="55"/>
    <n v="50"/>
    <s v="Expense"/>
    <x v="10"/>
    <s v="Maria"/>
    <d v="2025-04-03T00:00:00"/>
    <s v="1/1"/>
  </r>
  <r>
    <x v="56"/>
    <n v="35"/>
    <s v="Expense"/>
    <x v="12"/>
    <s v="Maria"/>
    <d v="2025-04-04T00:00:00"/>
    <s v="1/1"/>
  </r>
  <r>
    <x v="57"/>
    <n v="133"/>
    <s v="Expense"/>
    <x v="13"/>
    <s v="Luiz"/>
    <d v="2025-04-04T00:00:00"/>
    <s v="1/1"/>
  </r>
  <r>
    <x v="58"/>
    <n v="42"/>
    <s v="Expense"/>
    <x v="6"/>
    <s v="Luiz"/>
    <d v="2025-04-05T00:00:00"/>
    <s v="1/1"/>
  </r>
  <r>
    <x v="59"/>
    <n v="37.6"/>
    <s v="Expense"/>
    <x v="8"/>
    <s v="Luiz"/>
    <d v="2025-04-05T00:00:00"/>
    <s v="1/2"/>
  </r>
  <r>
    <x v="60"/>
    <n v="40.465000000000003"/>
    <s v="Expense"/>
    <x v="0"/>
    <s v="Luiz"/>
    <d v="2025-04-06T00:00:00"/>
    <s v="1/2"/>
  </r>
  <r>
    <x v="61"/>
    <n v="52.28875"/>
    <s v="Expense"/>
    <x v="0"/>
    <s v="Luiz"/>
    <d v="2025-04-06T00:00:00"/>
    <s v="1/8"/>
  </r>
  <r>
    <x v="62"/>
    <n v="5"/>
    <s v="Expense"/>
    <x v="1"/>
    <s v="Luiz"/>
    <d v="2025-04-06T00:00:00"/>
    <s v="1/1"/>
  </r>
  <r>
    <x v="63"/>
    <n v="12.69"/>
    <s v="Expense"/>
    <x v="14"/>
    <s v="Luiz"/>
    <d v="2025-04-07T00:00:00"/>
    <s v="1/1"/>
  </r>
  <r>
    <x v="64"/>
    <n v="27.995000000000001"/>
    <s v="Expense"/>
    <x v="8"/>
    <s v="Luiz"/>
    <d v="2025-04-07T00:00:00"/>
    <s v="1/2"/>
  </r>
  <r>
    <x v="65"/>
    <n v="135"/>
    <s v="Expense"/>
    <x v="8"/>
    <s v="Maria"/>
    <d v="2025-04-08T00:00:00"/>
    <s v="1/1"/>
  </r>
  <r>
    <x v="63"/>
    <n v="9.3000000000000007"/>
    <s v="Expense"/>
    <x v="14"/>
    <s v="Luiz"/>
    <d v="2025-04-08T00:00:00"/>
    <s v="1/1"/>
  </r>
  <r>
    <x v="63"/>
    <n v="8.1"/>
    <s v="Expense"/>
    <x v="14"/>
    <s v="Luiz"/>
    <d v="2025-04-08T00:00:00"/>
    <s v="1/1"/>
  </r>
  <r>
    <x v="66"/>
    <n v="155"/>
    <s v="Expense"/>
    <x v="10"/>
    <s v="Maria"/>
    <d v="2025-04-07T00:00:00"/>
    <s v="1/1"/>
  </r>
  <r>
    <x v="56"/>
    <n v="50"/>
    <s v="Expense"/>
    <x v="12"/>
    <s v="Maria"/>
    <d v="2025-04-08T00:00:00"/>
    <s v="1/1"/>
  </r>
  <r>
    <x v="67"/>
    <n v="33.799999999999997"/>
    <s v="Expense"/>
    <x v="13"/>
    <s v="Maria"/>
    <d v="2025-04-09T00:00:00"/>
    <s v="1/1"/>
  </r>
  <r>
    <x v="68"/>
    <n v="4"/>
    <s v="Expense"/>
    <x v="8"/>
    <s v="Maria"/>
    <d v="2025-04-09T00:00:00"/>
    <s v="1/1"/>
  </r>
  <r>
    <x v="63"/>
    <n v="25.2"/>
    <s v="Expense"/>
    <x v="14"/>
    <s v="Luiz"/>
    <d v="2025-04-10T00:00:00"/>
    <s v="1/1"/>
  </r>
  <r>
    <x v="63"/>
    <n v="3.7"/>
    <s v="Expense"/>
    <x v="14"/>
    <s v="Luiz"/>
    <d v="2025-04-10T00:00:00"/>
    <s v="1/1"/>
  </r>
  <r>
    <x v="63"/>
    <n v="21.4"/>
    <s v="Expense"/>
    <x v="14"/>
    <s v="Luiz"/>
    <d v="2025-04-10T00:00:00"/>
    <s v="1/1"/>
  </r>
  <r>
    <x v="63"/>
    <n v="3.22"/>
    <s v="Expense"/>
    <x v="14"/>
    <s v="Luiz"/>
    <d v="2025-04-10T00:00:00"/>
    <s v="1/1"/>
  </r>
  <r>
    <x v="69"/>
    <n v="42"/>
    <s v="Expense"/>
    <x v="12"/>
    <s v="Maria"/>
    <d v="2025-04-10T00:00:00"/>
    <s v="1/1"/>
  </r>
  <r>
    <x v="70"/>
    <n v="268.74"/>
    <s v="Expense"/>
    <x v="15"/>
    <s v="Luiz"/>
    <d v="2025-04-11T00:00:00"/>
    <s v="1/1"/>
  </r>
  <r>
    <x v="52"/>
    <n v="17.5"/>
    <s v="Expense"/>
    <x v="10"/>
    <s v="Luiz"/>
    <d v="2025-04-11T00:00:00"/>
    <s v="1/1"/>
  </r>
  <r>
    <x v="71"/>
    <n v="78.400000000000006"/>
    <s v="Expense"/>
    <x v="13"/>
    <s v="Luiz"/>
    <d v="2025-04-11T00:00:00"/>
    <s v="1/1"/>
  </r>
  <r>
    <x v="72"/>
    <n v="120"/>
    <s v="Expense"/>
    <x v="15"/>
    <s v="Luiz"/>
    <d v="2025-04-11T00:00:00"/>
    <s v="1/1"/>
  </r>
  <r>
    <x v="73"/>
    <n v="100"/>
    <s v="Expense"/>
    <x v="15"/>
    <s v="Maria"/>
    <d v="2025-04-11T00:00:00"/>
    <s v="1/1"/>
  </r>
  <r>
    <x v="74"/>
    <n v="67.2"/>
    <s v="Expense"/>
    <x v="13"/>
    <s v="Luiz"/>
    <d v="2025-04-12T00:00:00"/>
    <s v="1/1"/>
  </r>
  <r>
    <x v="72"/>
    <n v="30.6"/>
    <s v="Expense"/>
    <x v="14"/>
    <s v="Luiz"/>
    <d v="2025-04-12T00:00:00"/>
    <s v="1/1"/>
  </r>
  <r>
    <x v="49"/>
    <n v="41.51"/>
    <s v="Expense"/>
    <x v="10"/>
    <s v="Luiz"/>
    <d v="2025-04-12T00:00:00"/>
    <s v="1/1"/>
  </r>
  <r>
    <x v="75"/>
    <n v="69.900000000000006"/>
    <s v="Expense"/>
    <x v="7"/>
    <s v="Maria"/>
    <d v="2025-04-13T00:00:00"/>
    <s v="1/1"/>
  </r>
  <r>
    <x v="48"/>
    <n v="53.199999999999996"/>
    <s v="Expense"/>
    <x v="8"/>
    <s v="Maria"/>
    <d v="2025-04-14T00:00:00"/>
    <s v="1/3"/>
  </r>
  <r>
    <x v="76"/>
    <n v="39"/>
    <s v="Expense"/>
    <x v="13"/>
    <s v="Maria"/>
    <d v="2025-04-14T00:00:00"/>
    <s v="1/1"/>
  </r>
  <r>
    <x v="77"/>
    <n v="25"/>
    <s v="Expense"/>
    <x v="6"/>
    <s v="Maria"/>
    <d v="2025-04-14T00:00:00"/>
    <s v="1/1"/>
  </r>
  <r>
    <x v="78"/>
    <n v="31.9"/>
    <s v="Expense"/>
    <x v="13"/>
    <s v="Luiz"/>
    <d v="2025-04-15T00:00:00"/>
    <s v="1/1"/>
  </r>
  <r>
    <x v="70"/>
    <n v="227.9"/>
    <s v="Expense"/>
    <x v="15"/>
    <s v="Luiz"/>
    <d v="2025-04-15T00:00:00"/>
    <s v="1/1"/>
  </r>
  <r>
    <x v="79"/>
    <n v="15.6"/>
    <s v="Expense"/>
    <x v="13"/>
    <s v="Luiz"/>
    <d v="2025-04-15T00:00:00"/>
    <s v="1/1"/>
  </r>
  <r>
    <x v="72"/>
    <n v="100"/>
    <s v="Expense"/>
    <x v="15"/>
    <s v="Luiz"/>
    <d v="2025-04-15T00:00:00"/>
    <s v="1/1"/>
  </r>
  <r>
    <x v="80"/>
    <n v="41.4"/>
    <s v="Expense"/>
    <x v="13"/>
    <s v="Maria"/>
    <d v="2025-04-17T00:00:00"/>
    <s v="1/1"/>
  </r>
  <r>
    <x v="81"/>
    <n v="79.680000000000007"/>
    <s v="Expense"/>
    <x v="8"/>
    <s v="Luiz"/>
    <d v="2025-04-17T00:00:00"/>
    <s v="1/1"/>
  </r>
  <r>
    <x v="82"/>
    <n v="227.97"/>
    <s v="Expense"/>
    <x v="2"/>
    <s v="Luiz"/>
    <d v="2025-04-17T00:00:00"/>
    <s v="1/1"/>
  </r>
  <r>
    <x v="70"/>
    <n v="296.48"/>
    <s v="Expense"/>
    <x v="15"/>
    <s v="Luiz"/>
    <d v="2025-04-21T00:00:00"/>
    <s v="1/1"/>
  </r>
  <r>
    <x v="73"/>
    <n v="50"/>
    <s v="Expense"/>
    <x v="15"/>
    <s v="Maria"/>
    <d v="2025-04-21T00:00:00"/>
    <s v="1/1"/>
  </r>
  <r>
    <x v="73"/>
    <n v="50"/>
    <s v="Expense"/>
    <x v="15"/>
    <s v="Maria"/>
    <d v="2025-04-21T00:00:00"/>
    <s v="1/1"/>
  </r>
  <r>
    <x v="83"/>
    <n v="24.5"/>
    <s v="Expense"/>
    <x v="13"/>
    <s v="Maria"/>
    <d v="2025-04-21T00:00:00"/>
    <s v="1/1"/>
  </r>
  <r>
    <x v="84"/>
    <n v="170"/>
    <s v="Expense"/>
    <x v="10"/>
    <s v="Maria"/>
    <d v="2025-04-22T00:00:00"/>
    <s v="1/1"/>
  </r>
  <r>
    <x v="53"/>
    <n v="20"/>
    <s v="Expense"/>
    <x v="6"/>
    <s v="Maria"/>
    <d v="2025-04-22T00:00:00"/>
    <s v="1/1"/>
  </r>
  <r>
    <x v="73"/>
    <n v="50"/>
    <s v="Expense"/>
    <x v="15"/>
    <s v="Maria"/>
    <d v="2025-04-23T00:00:00"/>
    <s v="1/1"/>
  </r>
  <r>
    <x v="49"/>
    <n v="28.19"/>
    <s v="Expense"/>
    <x v="10"/>
    <s v="Luiz"/>
    <d v="2025-04-23T00:00:00"/>
    <s v="1/1"/>
  </r>
  <r>
    <x v="85"/>
    <n v="123.5"/>
    <s v="Expense"/>
    <x v="8"/>
    <s v="Luiz"/>
    <d v="2025-04-24T00:00:00"/>
    <s v="1/6"/>
  </r>
  <r>
    <x v="86"/>
    <n v="470.9"/>
    <s v="Expense"/>
    <x v="2"/>
    <s v="Luiz"/>
    <d v="2025-04-24T00:00:00"/>
    <s v="1/1"/>
  </r>
  <r>
    <x v="59"/>
    <n v="36.199999999999996"/>
    <s v="Expense"/>
    <x v="8"/>
    <s v="Luiz"/>
    <d v="2025-04-25T00:00:00"/>
    <s v="1/3"/>
  </r>
  <r>
    <x v="57"/>
    <n v="155"/>
    <s v="Expense"/>
    <x v="13"/>
    <s v="Maria"/>
    <d v="2025-04-25T00:00:00"/>
    <s v="1/1"/>
  </r>
  <r>
    <x v="63"/>
    <n v="13.9"/>
    <s v="Expense"/>
    <x v="14"/>
    <s v="Maria"/>
    <d v="2025-04-26T00:00:00"/>
    <s v="1/1"/>
  </r>
  <r>
    <x v="87"/>
    <n v="50.6"/>
    <s v="Expense"/>
    <x v="8"/>
    <s v="Luiz"/>
    <d v="2025-04-26T00:00:00"/>
    <s v="1/1"/>
  </r>
  <r>
    <x v="88"/>
    <n v="201.51"/>
    <s v="Expense"/>
    <x v="14"/>
    <s v="Luiz"/>
    <d v="2025-04-26T00:00:00"/>
    <s v="1/1"/>
  </r>
  <r>
    <x v="89"/>
    <n v="24.76"/>
    <s v="Expense"/>
    <x v="6"/>
    <s v="Luiz"/>
    <d v="2025-04-26T00:00:00"/>
    <s v="1/1"/>
  </r>
  <r>
    <x v="87"/>
    <n v="43.094999999999999"/>
    <s v="Expense"/>
    <x v="8"/>
    <s v="Luiz"/>
    <d v="2025-04-26T00:00:00"/>
    <s v="1/2"/>
  </r>
  <r>
    <x v="89"/>
    <n v="55.85"/>
    <s v="Expense"/>
    <x v="6"/>
    <s v="Luiz"/>
    <d v="2025-04-26T00:00:00"/>
    <s v="1/1"/>
  </r>
  <r>
    <x v="90"/>
    <n v="133.19"/>
    <s v="Expense"/>
    <x v="13"/>
    <s v="Luiz"/>
    <d v="2025-04-26T00:00:00"/>
    <s v="1/1"/>
  </r>
  <r>
    <x v="91"/>
    <n v="71.7"/>
    <s v="Expense"/>
    <x v="8"/>
    <s v="Luiz"/>
    <d v="2025-04-27T00:00:00"/>
    <s v="1/1"/>
  </r>
  <r>
    <x v="70"/>
    <n v="44.06"/>
    <s v="Expense"/>
    <x v="14"/>
    <s v="Luiz"/>
    <d v="2025-04-27T00:00:00"/>
    <s v="1/1"/>
  </r>
  <r>
    <x v="92"/>
    <n v="57.95"/>
    <s v="Expense"/>
    <x v="13"/>
    <s v="Luiz"/>
    <d v="2025-04-27T00:00:00"/>
    <s v="1/1"/>
  </r>
  <r>
    <x v="93"/>
    <n v="86.4"/>
    <s v="Expense"/>
    <x v="13"/>
    <s v="Maria"/>
    <d v="2025-04-27T00:00:00"/>
    <s v="1/1"/>
  </r>
  <r>
    <x v="63"/>
    <n v="13.57"/>
    <s v="Expense"/>
    <x v="14"/>
    <s v="Luiz"/>
    <d v="2025-04-26T00:00:00"/>
    <s v="1/1"/>
  </r>
  <r>
    <x v="63"/>
    <n v="6.96"/>
    <s v="Expense"/>
    <x v="14"/>
    <s v="Luiz"/>
    <d v="2025-04-27T00:00:00"/>
    <s v="1/1"/>
  </r>
  <r>
    <x v="94"/>
    <n v="65.400000000000006"/>
    <s v="Expense"/>
    <x v="10"/>
    <s v="Luiz"/>
    <d v="2025-04-28T00:00:00"/>
    <s v="1/1"/>
  </r>
  <r>
    <x v="95"/>
    <n v="50.949999999999996"/>
    <s v="Expense"/>
    <x v="10"/>
    <s v="Luiz"/>
    <d v="2025-04-28T00:00:00"/>
    <s v="1/6"/>
  </r>
  <r>
    <x v="52"/>
    <n v="15"/>
    <s v="Expense"/>
    <x v="10"/>
    <s v="Luiz"/>
    <d v="2025-04-28T00:00:00"/>
    <s v="1/1"/>
  </r>
  <r>
    <x v="89"/>
    <n v="56.57"/>
    <s v="Expense"/>
    <x v="6"/>
    <s v="Maria"/>
    <d v="2025-04-29T00:00:00"/>
    <s v="1/1"/>
  </r>
  <r>
    <x v="96"/>
    <n v="550"/>
    <s v="Expense"/>
    <x v="1"/>
    <s v="Maria"/>
    <d v="2025-04-30T00:00:00"/>
    <s v="1/1"/>
  </r>
  <r>
    <x v="97"/>
    <n v="450"/>
    <s v="Expense"/>
    <x v="2"/>
    <s v="Luiz"/>
    <d v="2025-04-30T00:00:00"/>
    <s v="1/1"/>
  </r>
  <r>
    <x v="63"/>
    <n v="13.49"/>
    <s v="Expense"/>
    <x v="14"/>
    <s v="Maria"/>
    <d v="2025-04-30T00:00:00"/>
    <s v="1/1"/>
  </r>
  <r>
    <x v="98"/>
    <n v="16.489999999999998"/>
    <s v="Expense"/>
    <x v="6"/>
    <s v="Maria"/>
    <d v="2025-04-30T00:00:00"/>
    <s v="1/1"/>
  </r>
  <r>
    <x v="99"/>
    <n v="7.38"/>
    <s v="Expense"/>
    <x v="6"/>
    <s v="Maria"/>
    <d v="2025-04-30T00:00:00"/>
    <s v="1/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">
  <r>
    <x v="0"/>
    <n v="73.125"/>
    <s v="Expense"/>
    <x v="0"/>
    <s v="Luiz"/>
    <d v="2024-12-03T00:00:00"/>
    <s v="6/12"/>
  </r>
  <r>
    <x v="1"/>
    <n v="33.36"/>
    <s v="Expense"/>
    <x v="1"/>
    <s v="Luiz"/>
    <d v="2024-12-13T00:00:00"/>
    <s v="6/8"/>
  </r>
  <r>
    <x v="2"/>
    <n v="51.68"/>
    <s v="Expense"/>
    <x v="1"/>
    <s v="Luiz"/>
    <d v="2024-12-17T00:00:00"/>
    <s v="6/6"/>
  </r>
  <r>
    <x v="3"/>
    <n v="346.14"/>
    <s v="Expense"/>
    <x v="2"/>
    <s v="Luiz"/>
    <d v="2024-12-31T00:00:00"/>
    <s v="6/10"/>
  </r>
  <r>
    <x v="4"/>
    <n v="27.01"/>
    <s v="Expense"/>
    <x v="3"/>
    <s v="Luiz"/>
    <d v="2024-12-31T00:00:00"/>
    <s v="5/6"/>
  </r>
  <r>
    <x v="5"/>
    <n v="68.8"/>
    <s v="Expense"/>
    <x v="3"/>
    <s v="Luiz"/>
    <d v="2025-01-11T00:00:00"/>
    <s v="5/12"/>
  </r>
  <r>
    <x v="6"/>
    <n v="36"/>
    <s v="Expense"/>
    <x v="3"/>
    <s v="Luiz"/>
    <d v="2025-01-23T00:00:00"/>
    <s v="5/6"/>
  </r>
  <r>
    <x v="7"/>
    <n v="49.9"/>
    <s v="Expense"/>
    <x v="4"/>
    <s v="Luiz"/>
    <d v="2025-01-24T00:00:00"/>
    <s v="5/12"/>
  </r>
  <r>
    <x v="8"/>
    <n v="32.99"/>
    <s v="Expense"/>
    <x v="1"/>
    <s v="Luiz"/>
    <d v="2025-01-26T00:00:00"/>
    <s v="5/6"/>
  </r>
  <r>
    <x v="9"/>
    <n v="42.021999999999998"/>
    <s v="Expense"/>
    <x v="5"/>
    <s v="Luiz"/>
    <d v="2025-02-03T00:00:00"/>
    <s v="4/5"/>
  </r>
  <r>
    <x v="10"/>
    <n v="17.815999999999999"/>
    <s v="Expense"/>
    <x v="3"/>
    <s v="Luiz"/>
    <d v="2025-02-03T00:00:00"/>
    <s v="4/5"/>
  </r>
  <r>
    <x v="11"/>
    <n v="42.66"/>
    <s v="Expense"/>
    <x v="1"/>
    <s v="Luiz"/>
    <d v="2025-02-10T00:00:00"/>
    <s v="4/6"/>
  </r>
  <r>
    <x v="12"/>
    <n v="11.87"/>
    <s v="Expense"/>
    <x v="1"/>
    <s v="Maria"/>
    <d v="2025-02-11T00:00:00"/>
    <s v="4/5"/>
  </r>
  <r>
    <x v="13"/>
    <n v="33.166666666666664"/>
    <s v="Expense"/>
    <x v="6"/>
    <s v="Luiz"/>
    <d v="2025-02-13T00:00:00"/>
    <s v="4/6"/>
  </r>
  <r>
    <x v="14"/>
    <n v="5.88"/>
    <s v="Expense"/>
    <x v="1"/>
    <s v="Maria"/>
    <d v="2025-02-17T00:00:00"/>
    <s v="4/5"/>
  </r>
  <r>
    <x v="15"/>
    <n v="116.33"/>
    <s v="Expense"/>
    <x v="1"/>
    <s v="Luiz"/>
    <d v="2025-02-22T00:00:00"/>
    <s v="4/6"/>
  </r>
  <r>
    <x v="16"/>
    <n v="39.134999999999998"/>
    <s v="Expense"/>
    <x v="3"/>
    <s v="Luiz"/>
    <d v="2025-03-02T00:00:00"/>
    <s v="3/12"/>
  </r>
  <r>
    <x v="17"/>
    <n v="173.72499999999999"/>
    <s v="Expense"/>
    <x v="5"/>
    <s v="Luiz"/>
    <d v="2025-03-03T00:00:00"/>
    <s v="3/4"/>
  </r>
  <r>
    <x v="18"/>
    <n v="86.833333333333329"/>
    <s v="Expense"/>
    <x v="5"/>
    <s v="Luiz"/>
    <d v="2025-03-03T00:00:00"/>
    <s v="3/3"/>
  </r>
  <r>
    <x v="19"/>
    <n v="57.179999999999993"/>
    <s v="Expense"/>
    <x v="3"/>
    <s v="Luiz"/>
    <d v="2025-03-03T00:00:00"/>
    <s v="3/5"/>
  </r>
  <r>
    <x v="20"/>
    <n v="51.137500000000003"/>
    <s v="Expense"/>
    <x v="1"/>
    <s v="Luiz"/>
    <d v="2025-03-03T00:00:00"/>
    <s v="3/4"/>
  </r>
  <r>
    <x v="21"/>
    <n v="52.987499999999997"/>
    <s v="Expense"/>
    <x v="7"/>
    <s v="Luiz"/>
    <d v="2025-03-05T00:00:00"/>
    <s v="3/4"/>
  </r>
  <r>
    <x v="22"/>
    <n v="27.408333333333331"/>
    <s v="Expense"/>
    <x v="1"/>
    <s v="Luiz"/>
    <d v="2025-03-15T00:00:00"/>
    <s v="3/6"/>
  </r>
  <r>
    <x v="23"/>
    <n v="27.406666666666666"/>
    <s v="Expense"/>
    <x v="5"/>
    <s v="Luiz"/>
    <d v="2025-03-15T00:00:00"/>
    <s v="3/6"/>
  </r>
  <r>
    <x v="24"/>
    <n v="36.907499999999999"/>
    <s v="Expense"/>
    <x v="3"/>
    <s v="Maria"/>
    <d v="2025-03-18T00:00:00"/>
    <s v="3/12"/>
  </r>
  <r>
    <x v="25"/>
    <n v="133.25"/>
    <s v="Expense"/>
    <x v="3"/>
    <s v="Maria"/>
    <d v="2025-03-18T00:00:00"/>
    <s v="3/12"/>
  </r>
  <r>
    <x v="26"/>
    <n v="86.54"/>
    <s v="Expense"/>
    <x v="1"/>
    <s v="Maria"/>
    <d v="2025-03-22T00:00:00"/>
    <s v="3/3"/>
  </r>
  <r>
    <x v="27"/>
    <n v="54.991666666666667"/>
    <s v="Expense"/>
    <x v="1"/>
    <s v="Luiz"/>
    <d v="2025-03-26T00:00:00"/>
    <s v="3/6"/>
  </r>
  <r>
    <x v="28"/>
    <n v="99.596666666666678"/>
    <s v="Expense"/>
    <x v="1"/>
    <s v="Luiz"/>
    <d v="2025-03-30T00:00:00"/>
    <s v="3/3"/>
  </r>
  <r>
    <x v="29"/>
    <n v="37.6"/>
    <s v="Expense"/>
    <x v="1"/>
    <s v="Luiz"/>
    <d v="2025-04-05T00:00:00"/>
    <s v="2/2"/>
  </r>
  <r>
    <x v="30"/>
    <n v="40.465000000000003"/>
    <s v="Expense"/>
    <x v="7"/>
    <s v="Luiz"/>
    <d v="2025-04-06T00:00:00"/>
    <s v="2/2"/>
  </r>
  <r>
    <x v="31"/>
    <n v="52.28875"/>
    <s v="Expense"/>
    <x v="7"/>
    <s v="Luiz"/>
    <d v="2025-04-06T00:00:00"/>
    <s v="2/8"/>
  </r>
  <r>
    <x v="32"/>
    <n v="27.995000000000001"/>
    <s v="Expense"/>
    <x v="1"/>
    <s v="Luiz"/>
    <d v="2025-04-07T00:00:00"/>
    <s v="2/2"/>
  </r>
  <r>
    <x v="26"/>
    <n v="53.199999999999996"/>
    <s v="Expense"/>
    <x v="1"/>
    <s v="Maria"/>
    <d v="2025-04-14T00:00:00"/>
    <s v="2/3"/>
  </r>
  <r>
    <x v="33"/>
    <n v="123.5"/>
    <s v="Expense"/>
    <x v="1"/>
    <s v="Luiz"/>
    <d v="2025-04-24T00:00:00"/>
    <s v="2/6"/>
  </r>
  <r>
    <x v="29"/>
    <n v="36.199999999999996"/>
    <s v="Expense"/>
    <x v="1"/>
    <s v="Luiz"/>
    <d v="2025-04-25T00:00:00"/>
    <s v="2/3"/>
  </r>
  <r>
    <x v="34"/>
    <n v="43.094999999999999"/>
    <s v="Expense"/>
    <x v="1"/>
    <s v="Luiz"/>
    <d v="2025-04-26T00:00:00"/>
    <s v="2/2"/>
  </r>
  <r>
    <x v="35"/>
    <n v="50.949999999999996"/>
    <s v="Expense"/>
    <x v="5"/>
    <s v="Luiz"/>
    <d v="2025-04-28T00:00:00"/>
    <s v="2/6"/>
  </r>
  <r>
    <x v="36"/>
    <n v="56.1"/>
    <s v="Expense"/>
    <x v="8"/>
    <s v="Luiz"/>
    <d v="2025-04-30T00:00:00"/>
    <s v="1/1"/>
  </r>
  <r>
    <x v="37"/>
    <n v="71"/>
    <s v="Expense"/>
    <x v="8"/>
    <s v="Luiz"/>
    <d v="2025-05-01T00:00:00"/>
    <s v="1/1"/>
  </r>
  <r>
    <x v="38"/>
    <n v="90.24666666666667"/>
    <s v="Expense"/>
    <x v="5"/>
    <s v="Luiz"/>
    <d v="2025-05-01T00:00:00"/>
    <s v="1/3"/>
  </r>
  <r>
    <x v="39"/>
    <n v="7.18"/>
    <s v="Expense"/>
    <x v="0"/>
    <s v="Luiz"/>
    <d v="2025-05-02T00:00:00"/>
    <s v="1/1"/>
  </r>
  <r>
    <x v="40"/>
    <n v="88.8"/>
    <s v="Expense"/>
    <x v="6"/>
    <s v="Luiz"/>
    <d v="2025-05-02T00:00:00"/>
    <s v="1/1"/>
  </r>
  <r>
    <x v="41"/>
    <n v="52.06"/>
    <s v="Expense"/>
    <x v="3"/>
    <s v="Luiz"/>
    <d v="2025-05-02T00:00:00"/>
    <s v="1/8"/>
  </r>
  <r>
    <x v="42"/>
    <n v="119"/>
    <s v="Expense"/>
    <x v="7"/>
    <s v="Luiz"/>
    <d v="2025-05-03T00:00:00"/>
    <m/>
  </r>
  <r>
    <x v="43"/>
    <n v="400"/>
    <s v="Expense"/>
    <x v="9"/>
    <s v="Luiz"/>
    <d v="2025-05-03T00:00:00"/>
    <m/>
  </r>
  <r>
    <x v="44"/>
    <n v="39.699999999999996"/>
    <s v="Expense"/>
    <x v="6"/>
    <s v="Luiz"/>
    <d v="2025-05-03T00:00:00"/>
    <s v="1/6"/>
  </r>
  <r>
    <x v="45"/>
    <n v="157.30000000000001"/>
    <s v="Expense"/>
    <x v="8"/>
    <s v="Luiz"/>
    <d v="2025-05-03T00:00:00"/>
    <s v="1/1"/>
  </r>
  <r>
    <x v="46"/>
    <n v="20"/>
    <s v="Expense"/>
    <x v="8"/>
    <s v="Maria"/>
    <d v="2025-05-04T00:00:00"/>
    <s v="1/1"/>
  </r>
  <r>
    <x v="47"/>
    <n v="289.89999999999998"/>
    <s v="Expense"/>
    <x v="7"/>
    <s v="Maria"/>
    <d v="2025-05-05T00:00:00"/>
    <m/>
  </r>
  <r>
    <x v="48"/>
    <n v="20"/>
    <s v="Expense"/>
    <x v="0"/>
    <s v="Maria"/>
    <d v="2025-05-05T00:00:00"/>
    <s v="1/1"/>
  </r>
  <r>
    <x v="49"/>
    <n v="274.42"/>
    <s v="Expense"/>
    <x v="10"/>
    <s v="Luiz"/>
    <d v="2025-05-05T00:00:00"/>
    <s v="1/1"/>
  </r>
  <r>
    <x v="50"/>
    <n v="5"/>
    <s v="Expense"/>
    <x v="9"/>
    <s v="Luiz"/>
    <d v="2025-05-06T00:00:00"/>
    <s v="1/1"/>
  </r>
  <r>
    <x v="51"/>
    <n v="10.68"/>
    <s v="Expense"/>
    <x v="10"/>
    <s v="Luiz"/>
    <d v="2025-05-06T00:00:00"/>
    <s v="1/1"/>
  </r>
  <r>
    <x v="51"/>
    <n v="16.920000000000002"/>
    <s v="Expense"/>
    <x v="10"/>
    <s v="Luiz"/>
    <d v="2025-05-06T00:00:00"/>
    <s v="1/1"/>
  </r>
  <r>
    <x v="52"/>
    <n v="75"/>
    <s v="Expense"/>
    <x v="11"/>
    <s v="Maria"/>
    <d v="2025-05-06T00:00:00"/>
    <s v="1/1"/>
  </r>
  <r>
    <x v="51"/>
    <n v="10.73"/>
    <s v="Expense"/>
    <x v="10"/>
    <s v="Luiz"/>
    <d v="2025-05-07T00:00:00"/>
    <s v="1/1"/>
  </r>
  <r>
    <x v="53"/>
    <n v="82.759999999999991"/>
    <s v="Expense"/>
    <x v="10"/>
    <s v="Luiz"/>
    <d v="2025-05-08T00:00:00"/>
    <s v="1/1"/>
  </r>
  <r>
    <x v="54"/>
    <n v="165.05"/>
    <s v="Expense"/>
    <x v="1"/>
    <s v="Luiz"/>
    <d v="2025-05-08T00:00:00"/>
    <s v="1/1"/>
  </r>
  <r>
    <x v="55"/>
    <n v="120"/>
    <s v="Expense"/>
    <x v="1"/>
    <s v="Maria"/>
    <d v="2025-05-09T00:00:00"/>
    <s v="1/1"/>
  </r>
  <r>
    <x v="56"/>
    <n v="46.5"/>
    <s v="Expense"/>
    <x v="8"/>
    <s v="Maria"/>
    <d v="2025-05-09T00:00:00"/>
    <s v="1/1"/>
  </r>
  <r>
    <x v="39"/>
    <n v="95.47"/>
    <s v="Expense"/>
    <x v="0"/>
    <s v="Maria"/>
    <d v="2025-05-09T00:00:00"/>
    <s v="1/1"/>
  </r>
  <r>
    <x v="51"/>
    <n v="18.14"/>
    <s v="Expense"/>
    <x v="10"/>
    <s v="Maria"/>
    <d v="2025-05-09T00:00:00"/>
    <s v="1/1"/>
  </r>
  <r>
    <x v="51"/>
    <n v="12.35"/>
    <s v="Expense"/>
    <x v="10"/>
    <s v="Maria"/>
    <d v="2025-05-09T00:00:00"/>
    <s v="1/1"/>
  </r>
  <r>
    <x v="57"/>
    <n v="30"/>
    <s v="Expense"/>
    <x v="8"/>
    <s v="Luiz"/>
    <d v="2025-05-09T00:00:00"/>
    <s v="1/1"/>
  </r>
  <r>
    <x v="58"/>
    <n v="49"/>
    <s v="Expense"/>
    <x v="2"/>
    <s v="Luiz"/>
    <d v="2025-05-09T00:00:00"/>
    <s v="1/1"/>
  </r>
  <r>
    <x v="59"/>
    <n v="150"/>
    <s v="Expense"/>
    <x v="9"/>
    <s v="Maria"/>
    <d v="2025-05-10T00:00:00"/>
    <m/>
  </r>
  <r>
    <x v="60"/>
    <n v="115"/>
    <s v="Expense"/>
    <x v="1"/>
    <s v="Luiz"/>
    <d v="2025-05-10T00:00:00"/>
    <s v="1/1"/>
  </r>
  <r>
    <x v="61"/>
    <n v="25"/>
    <s v="Expense"/>
    <x v="8"/>
    <s v="Luiz"/>
    <d v="2025-05-10T00:00:00"/>
    <s v="1/1"/>
  </r>
  <r>
    <x v="62"/>
    <n v="5.95"/>
    <s v="Expense"/>
    <x v="8"/>
    <s v="Luiz"/>
    <d v="2025-05-10T00:00:00"/>
    <s v="1/1"/>
  </r>
  <r>
    <x v="63"/>
    <n v="176.88"/>
    <s v="Expense"/>
    <x v="8"/>
    <s v="Luiz"/>
    <d v="2025-05-10T00:00:00"/>
    <s v="1/1"/>
  </r>
  <r>
    <x v="64"/>
    <n v="20"/>
    <s v="Expense"/>
    <x v="9"/>
    <s v="Luiz"/>
    <d v="2025-05-11T00:00:00"/>
    <s v="1/1"/>
  </r>
  <r>
    <x v="65"/>
    <n v="471.64"/>
    <s v="Expense"/>
    <x v="8"/>
    <s v="Luiz"/>
    <d v="2025-05-11T00:00:00"/>
    <s v="1/1"/>
  </r>
  <r>
    <x v="66"/>
    <n v="180"/>
    <s v="Expense"/>
    <x v="8"/>
    <s v="Luiz"/>
    <d v="2025-05-12T00:00:00"/>
    <s v="1/1"/>
  </r>
  <r>
    <x v="67"/>
    <n v="5000"/>
    <s v="Expense"/>
    <x v="12"/>
    <s v="Luiz"/>
    <d v="2025-05-15T00:00:00"/>
    <m/>
  </r>
  <r>
    <x v="68"/>
    <n v="5679.6"/>
    <s v="Income"/>
    <x v="13"/>
    <s v="Maria"/>
    <d v="2025-05-15T00:00:00"/>
    <m/>
  </r>
  <r>
    <x v="69"/>
    <n v="5710.37"/>
    <s v="Income"/>
    <x v="13"/>
    <s v="Luiz"/>
    <d v="2025-05-15T00:00:00"/>
    <m/>
  </r>
  <r>
    <x v="70"/>
    <n v="60"/>
    <s v="Expense"/>
    <x v="9"/>
    <s v="Luiz"/>
    <d v="2025-05-18T00:00:00"/>
    <m/>
  </r>
  <r>
    <x v="71"/>
    <n v="25.9"/>
    <s v="Expense"/>
    <x v="4"/>
    <s v="Luiz"/>
    <d v="2025-05-18T00:00:00"/>
    <m/>
  </r>
  <r>
    <x v="72"/>
    <n v="100"/>
    <s v="Expense"/>
    <x v="9"/>
    <s v="Luiz"/>
    <d v="2025-05-25T00:00:00"/>
    <m/>
  </r>
  <r>
    <x v="73"/>
    <n v="49.9"/>
    <s v="Expense"/>
    <x v="4"/>
    <s v="Luiz"/>
    <d v="2025-05-25T00:00:00"/>
    <m/>
  </r>
  <r>
    <x v="74"/>
    <n v="12.9"/>
    <s v="Expense"/>
    <x v="4"/>
    <s v="Luiz"/>
    <d v="2025-05-28T00:00:00"/>
    <m/>
  </r>
  <r>
    <x v="75"/>
    <n v="857.05"/>
    <s v="Expense"/>
    <x v="14"/>
    <s v="Luiz"/>
    <d v="2025-05-12T00:00:00"/>
    <m/>
  </r>
  <r>
    <x v="76"/>
    <n v="113.7"/>
    <s v="Expense"/>
    <x v="14"/>
    <s v="Luiz"/>
    <d v="2025-05-30T00:00:00"/>
    <m/>
  </r>
  <r>
    <x v="77"/>
    <n v="50"/>
    <s v="Expense"/>
    <x v="14"/>
    <s v="Luiz"/>
    <d v="2025-05-30T00:00:00"/>
    <m/>
  </r>
  <r>
    <x v="78"/>
    <n v="4514.46"/>
    <s v="Income"/>
    <x v="13"/>
    <s v="Luiz"/>
    <d v="2025-05-30T00:00:00"/>
    <m/>
  </r>
  <r>
    <x v="79"/>
    <n v="3000"/>
    <s v="Income"/>
    <x v="13"/>
    <s v="Maria"/>
    <d v="2025-05-30T00:00:00"/>
    <m/>
  </r>
  <r>
    <x v="80"/>
    <n v="2146.11"/>
    <s v="Income"/>
    <x v="13"/>
    <s v="Maria"/>
    <d v="2025-05-30T00:00:00"/>
    <m/>
  </r>
  <r>
    <x v="81"/>
    <n v="122.45"/>
    <s v="Expense"/>
    <x v="1"/>
    <s v="Maria"/>
    <d v="2025-05-12T00:00:00"/>
    <s v="1/4"/>
  </r>
  <r>
    <x v="51"/>
    <n v="9.4700000000000006"/>
    <s v="Expense"/>
    <x v="10"/>
    <s v="Maria"/>
    <d v="2025-05-12T00:00:00"/>
    <s v="1/1"/>
  </r>
  <r>
    <x v="51"/>
    <n v="17.13"/>
    <s v="Expense"/>
    <x v="10"/>
    <s v="Maria"/>
    <d v="2025-05-12T00:00:00"/>
    <s v="1/1"/>
  </r>
  <r>
    <x v="82"/>
    <n v="43.52"/>
    <s v="Expense"/>
    <x v="0"/>
    <s v="Luiz"/>
    <d v="2025-05-12T00:00:00"/>
    <s v="1/1"/>
  </r>
  <r>
    <x v="51"/>
    <n v="14.41"/>
    <s v="Expense"/>
    <x v="10"/>
    <s v="Luiz"/>
    <d v="2025-05-12T00:00:00"/>
    <s v="1/1"/>
  </r>
  <r>
    <x v="83"/>
    <n v="21.94"/>
    <s v="Expense"/>
    <x v="1"/>
    <s v="Luiz"/>
    <d v="2025-05-12T00:00:00"/>
    <s v="1/1"/>
  </r>
  <r>
    <x v="84"/>
    <n v="36"/>
    <s v="Expense"/>
    <x v="0"/>
    <s v="Maria"/>
    <d v="2025-05-13T00:00:00"/>
    <s v="1/1"/>
  </r>
  <r>
    <x v="85"/>
    <n v="69.900000000000006"/>
    <s v="Expense"/>
    <x v="3"/>
    <s v="Maria"/>
    <d v="2025-05-13T00:00:00"/>
    <s v="1/1"/>
  </r>
  <r>
    <x v="86"/>
    <n v="8"/>
    <s v="Expense"/>
    <x v="1"/>
    <s v="Maria"/>
    <d v="2025-05-13T00:00:00"/>
    <s v="1/1"/>
  </r>
  <r>
    <x v="87"/>
    <n v="45"/>
    <s v="Expense"/>
    <x v="5"/>
    <s v="Maria"/>
    <d v="2025-05-14T00:00:00"/>
    <s v="1/1"/>
  </r>
  <r>
    <x v="51"/>
    <n v="10.81"/>
    <s v="Expense"/>
    <x v="10"/>
    <s v="Luiz"/>
    <d v="2025-05-13T00:00:00"/>
    <s v="1/1"/>
  </r>
  <r>
    <x v="51"/>
    <n v="9.4700000000000006"/>
    <s v="Expense"/>
    <x v="10"/>
    <s v="Luiz"/>
    <d v="2025-05-13T00:00:00"/>
    <s v="1/1"/>
  </r>
  <r>
    <x v="88"/>
    <n v="31.9"/>
    <s v="Expense"/>
    <x v="5"/>
    <s v="Luiz"/>
    <d v="2025-05-13T00:00:00"/>
    <s v="1/1"/>
  </r>
  <r>
    <x v="39"/>
    <n v="7.58"/>
    <s v="Expense"/>
    <x v="0"/>
    <s v="Luiz"/>
    <d v="2025-05-13T00:00:00"/>
    <s v="1/1"/>
  </r>
  <r>
    <x v="89"/>
    <n v="20"/>
    <s v="Expense"/>
    <x v="0"/>
    <s v="Maria"/>
    <d v="2025-05-14T00:00:00"/>
    <s v="1/1"/>
  </r>
  <r>
    <x v="62"/>
    <n v="5.95"/>
    <s v="Expense"/>
    <x v="8"/>
    <s v="Maria"/>
    <d v="2025-05-15T00:00:00"/>
    <s v="1/1"/>
  </r>
  <r>
    <x v="90"/>
    <n v="152"/>
    <s v="Expense"/>
    <x v="3"/>
    <s v="Maria"/>
    <d v="2025-05-15T00:00:00"/>
    <s v="1/1"/>
  </r>
  <r>
    <x v="91"/>
    <n v="50"/>
    <s v="Expense"/>
    <x v="10"/>
    <s v="Maria"/>
    <d v="2025-05-16T00:00:00"/>
    <s v="1/1"/>
  </r>
  <r>
    <x v="91"/>
    <n v="50"/>
    <s v="Expense"/>
    <x v="10"/>
    <s v="Maria"/>
    <d v="2025-05-18T00:00:00"/>
    <s v="1/1"/>
  </r>
  <r>
    <x v="92"/>
    <n v="4.1900000000000004"/>
    <s v="Expense"/>
    <x v="0"/>
    <s v="Maria"/>
    <d v="2025-05-18T00:00:00"/>
    <s v="1/1"/>
  </r>
  <r>
    <x v="88"/>
    <n v="89.98"/>
    <s v="Expense"/>
    <x v="5"/>
    <s v="Maria"/>
    <d v="2025-05-18T00:00:00"/>
    <s v="1/1"/>
  </r>
  <r>
    <x v="93"/>
    <n v="3.8"/>
    <s v="Expense"/>
    <x v="1"/>
    <s v="Maria"/>
    <d v="2025-05-19T00:00:00"/>
    <s v="1/1"/>
  </r>
  <r>
    <x v="94"/>
    <n v="22.98"/>
    <s v="Expense"/>
    <x v="0"/>
    <s v="Luiz"/>
    <d v="2025-05-16T00:00:00"/>
    <s v="1/1"/>
  </r>
  <r>
    <x v="95"/>
    <n v="102"/>
    <s v="Expense"/>
    <x v="8"/>
    <s v="Luiz"/>
    <d v="2025-05-16T00:00:00"/>
    <s v="1/1"/>
  </r>
  <r>
    <x v="96"/>
    <n v="126"/>
    <s v="Expense"/>
    <x v="8"/>
    <s v="Luiz"/>
    <d v="2025-05-16T00:00:00"/>
    <s v="1/1"/>
  </r>
  <r>
    <x v="97"/>
    <n v="54.95"/>
    <s v="Expense"/>
    <x v="8"/>
    <s v="Luiz"/>
    <d v="2025-05-17T00:00:00"/>
    <s v="1/1"/>
  </r>
  <r>
    <x v="49"/>
    <n v="95.07"/>
    <s v="Expense"/>
    <x v="10"/>
    <s v="Luiz"/>
    <d v="2025-05-17T00:00:00"/>
    <s v="1/1"/>
  </r>
  <r>
    <x v="98"/>
    <n v="19.899999999999999"/>
    <s v="Expense"/>
    <x v="4"/>
    <s v="Luiz"/>
    <d v="2025-05-17T00:00:00"/>
    <s v="1/1"/>
  </r>
  <r>
    <x v="49"/>
    <n v="219.64"/>
    <s v="Expense"/>
    <x v="10"/>
    <s v="Luiz"/>
    <d v="2025-05-19T00:00:00"/>
    <s v="1/1"/>
  </r>
  <r>
    <x v="17"/>
    <n v="245.4"/>
    <s v="Expense"/>
    <x v="5"/>
    <s v="Luiz"/>
    <d v="2025-05-19T00:00:00"/>
    <s v="1/3"/>
  </r>
  <r>
    <x v="91"/>
    <n v="50"/>
    <s v="Expense"/>
    <x v="10"/>
    <s v="Maria"/>
    <d v="2025-05-19T00:00:00"/>
    <s v="1/1"/>
  </r>
  <r>
    <x v="99"/>
    <n v="112.36"/>
    <s v="Expense"/>
    <x v="14"/>
    <s v="Luiz"/>
    <d v="2025-05-19T00:00:00"/>
    <s v="1/1"/>
  </r>
  <r>
    <x v="100"/>
    <n v="29.7"/>
    <s v="Expense"/>
    <x v="1"/>
    <s v="Maria"/>
    <d v="2025-05-20T00:00:00"/>
    <s v="1/1"/>
  </r>
  <r>
    <x v="89"/>
    <n v="20"/>
    <s v="Expense"/>
    <x v="0"/>
    <s v="Maria"/>
    <d v="2025-05-20T00:00:00"/>
    <s v="1/1"/>
  </r>
  <r>
    <x v="101"/>
    <n v="148.18"/>
    <s v="Expense"/>
    <x v="5"/>
    <s v="Luiz"/>
    <d v="2025-05-20T00:00:00"/>
    <s v="1/1"/>
  </r>
  <r>
    <x v="102"/>
    <n v="142.34"/>
    <s v="Expense"/>
    <x v="5"/>
    <s v="Maria"/>
    <d v="2025-05-20T00:00:00"/>
    <s v="1/3"/>
  </r>
  <r>
    <x v="103"/>
    <n v="26.8"/>
    <s v="Expense"/>
    <x v="8"/>
    <s v="Maria"/>
    <d v="2025-05-20T00:00:00"/>
    <s v="1/1"/>
  </r>
  <r>
    <x v="104"/>
    <n v="120.67"/>
    <s v="Expense"/>
    <x v="0"/>
    <s v="Maria"/>
    <d v="2025-05-21T00:00:00"/>
    <s v="1/1"/>
  </r>
  <r>
    <x v="105"/>
    <n v="61.59"/>
    <s v="Expense"/>
    <x v="5"/>
    <s v="Luiz"/>
    <d v="2025-05-21T00:00:00"/>
    <s v="1/1"/>
  </r>
  <r>
    <x v="106"/>
    <n v="49.9"/>
    <s v="Expense"/>
    <x v="8"/>
    <s v="Luiz"/>
    <d v="2025-05-22T00:00:00"/>
    <s v="1/1"/>
  </r>
  <r>
    <x v="103"/>
    <n v="46.8"/>
    <s v="Expense"/>
    <x v="8"/>
    <s v="Maria"/>
    <d v="2025-05-22T00:00:00"/>
    <s v="1/1"/>
  </r>
  <r>
    <x v="107"/>
    <n v="53.569000000000003"/>
    <s v="Expense"/>
    <x v="5"/>
    <s v="Luiz"/>
    <d v="2025-05-22T00:00:00"/>
    <s v="1/10"/>
  </r>
  <r>
    <x v="41"/>
    <n v="40.984999999999999"/>
    <s v="Expense"/>
    <x v="3"/>
    <s v="Luiz"/>
    <d v="2025-05-22T00:00:00"/>
    <s v="1/2"/>
  </r>
  <r>
    <x v="39"/>
    <n v="175.87"/>
    <s v="Expense"/>
    <x v="0"/>
    <s v="Maria"/>
    <d v="2025-05-23T00:00:00"/>
    <s v="1/1"/>
  </r>
  <r>
    <x v="108"/>
    <n v="1.9"/>
    <s v="Expense"/>
    <x v="1"/>
    <s v="Maria"/>
    <d v="2025-05-23T00:00:00"/>
    <s v="1/1"/>
  </r>
  <r>
    <x v="109"/>
    <n v="284"/>
    <s v="Expense"/>
    <x v="8"/>
    <s v="Luiz"/>
    <d v="2025-05-24T00:00:00"/>
    <s v="1/1"/>
  </r>
  <r>
    <x v="110"/>
    <n v="68.393333333333331"/>
    <s v="Expense"/>
    <x v="5"/>
    <s v="Luiz"/>
    <d v="2025-05-24T00:00:00"/>
    <s v="1/3"/>
  </r>
  <r>
    <x v="89"/>
    <n v="20"/>
    <s v="Expense"/>
    <x v="0"/>
    <s v="Maria"/>
    <d v="2025-05-24T00:00:00"/>
    <s v="1/1"/>
  </r>
  <r>
    <x v="111"/>
    <n v="16"/>
    <s v="Expense"/>
    <x v="10"/>
    <s v="Luiz"/>
    <d v="2025-05-26T00:00:00"/>
    <s v="1/1"/>
  </r>
  <r>
    <x v="112"/>
    <n v="40"/>
    <s v="Expense"/>
    <x v="2"/>
    <s v="Luiz"/>
    <d v="2025-05-26T00:00:00"/>
    <s v="1/1"/>
  </r>
  <r>
    <x v="39"/>
    <n v="7.38"/>
    <s v="Expense"/>
    <x v="0"/>
    <s v="Luiz"/>
    <d v="2025-05-26T00:00:00"/>
    <s v="1/1"/>
  </r>
  <r>
    <x v="49"/>
    <n v="288.08999999999997"/>
    <s v="Expense"/>
    <x v="15"/>
    <s v="Luiz"/>
    <d v="2025-05-27T00:00:00"/>
    <s v="1/1"/>
  </r>
  <r>
    <x v="113"/>
    <n v="5"/>
    <s v="Expense"/>
    <x v="0"/>
    <s v="Luiz"/>
    <d v="2025-05-27T00:00:00"/>
    <s v="1/1"/>
  </r>
  <r>
    <x v="38"/>
    <n v="115.24"/>
    <s v="Expense"/>
    <x v="3"/>
    <s v="Luiz"/>
    <d v="2025-05-28T00:00:00"/>
    <s v="1/1"/>
  </r>
  <r>
    <x v="114"/>
    <n v="29.99"/>
    <s v="Expense"/>
    <x v="3"/>
    <s v="Luiz"/>
    <d v="2025-05-28T00:00:00"/>
    <s v="1/1"/>
  </r>
  <r>
    <x v="115"/>
    <n v="73.97"/>
    <s v="Expense"/>
    <x v="1"/>
    <s v="Maria"/>
    <d v="2025-05-26T00:00:00"/>
    <s v="1/1"/>
  </r>
  <r>
    <x v="103"/>
    <n v="54.7"/>
    <s v="Expense"/>
    <x v="8"/>
    <s v="Maria"/>
    <d v="2025-05-27T00:00:00"/>
    <s v="1/1"/>
  </r>
  <r>
    <x v="91"/>
    <n v="100"/>
    <s v="Expense"/>
    <x v="15"/>
    <s v="Maria"/>
    <d v="2025-05-27T00:00:00"/>
    <s v="1/1"/>
  </r>
  <r>
    <x v="116"/>
    <n v="17"/>
    <s v="Expense"/>
    <x v="4"/>
    <s v="Maria"/>
    <d v="2025-05-28T00:00:00"/>
    <s v="1/1"/>
  </r>
  <r>
    <x v="117"/>
    <n v="97.79"/>
    <s v="Expense"/>
    <x v="8"/>
    <s v="Maria"/>
    <d v="2025-05-28T00:00:00"/>
    <s v="1/1"/>
  </r>
  <r>
    <x v="118"/>
    <n v="199.9"/>
    <s v="Expense"/>
    <x v="1"/>
    <s v="Maria"/>
    <d v="2025-05-29T00:00:00"/>
    <s v="1/1"/>
  </r>
  <r>
    <x v="119"/>
    <n v="33.4"/>
    <s v="Expense"/>
    <x v="8"/>
    <s v="Maria"/>
    <d v="2025-05-29T00:00:00"/>
    <s v="1/1"/>
  </r>
  <r>
    <x v="120"/>
    <n v="81.599999999999994"/>
    <s v="Expense"/>
    <x v="1"/>
    <s v="Luiz"/>
    <d v="2025-05-28T00:00:00"/>
    <s v="1/5"/>
  </r>
  <r>
    <x v="121"/>
    <n v="39.012500000000003"/>
    <s v="Expense"/>
    <x v="3"/>
    <s v="Luiz"/>
    <d v="2025-05-28T00:00:00"/>
    <s v="1/4"/>
  </r>
  <r>
    <x v="122"/>
    <n v="51.23"/>
    <s v="Expense"/>
    <x v="0"/>
    <s v="Luiz"/>
    <d v="2025-05-29T00:00:00"/>
    <s v="1/1"/>
  </r>
  <r>
    <x v="123"/>
    <n v="18.899999999999999"/>
    <s v="Expense"/>
    <x v="1"/>
    <s v="Luiz"/>
    <d v="2025-05-31T00:00:00"/>
    <s v="1/1"/>
  </r>
  <r>
    <x v="124"/>
    <n v="42.13"/>
    <s v="Expense"/>
    <x v="10"/>
    <s v="Luiz"/>
    <d v="2025-05-31T00:00:00"/>
    <s v="1/1"/>
  </r>
  <r>
    <x v="124"/>
    <n v="54.15"/>
    <s v="Expense"/>
    <x v="10"/>
    <s v="Luiz"/>
    <d v="2025-05-31T00:00:00"/>
    <s v="1/1"/>
  </r>
  <r>
    <x v="124"/>
    <n v="2.2599999999999998"/>
    <s v="Expense"/>
    <x v="10"/>
    <s v="Luiz"/>
    <d v="2025-05-31T00:00:00"/>
    <s v="1/1"/>
  </r>
  <r>
    <x v="125"/>
    <n v="108.56"/>
    <s v="Expense"/>
    <x v="8"/>
    <s v="Luiz"/>
    <d v="2025-05-31T00:00:00"/>
    <s v="1/1"/>
  </r>
  <r>
    <x v="126"/>
    <n v="129.11000000000001"/>
    <s v="Expense"/>
    <x v="16"/>
    <s v="Maria"/>
    <d v="2025-05-21T00:00:00"/>
    <s v="1/2"/>
  </r>
  <r>
    <x v="126"/>
    <n v="34.11"/>
    <s v="Expense"/>
    <x v="16"/>
    <s v="Maria"/>
    <d v="2025-05-21T00:00:00"/>
    <s v="1/1"/>
  </r>
  <r>
    <x v="127"/>
    <n v="133.64000000000001"/>
    <s v="Expense"/>
    <x v="16"/>
    <s v="Maria"/>
    <d v="2025-05-21T00:00:00"/>
    <s v="1/7"/>
  </r>
  <r>
    <x v="127"/>
    <n v="74.59"/>
    <s v="Expense"/>
    <x v="16"/>
    <s v="Maria"/>
    <d v="2025-05-21T00:00:00"/>
    <s v="1/1"/>
  </r>
  <r>
    <x v="128"/>
    <n v="1000"/>
    <s v="Expense"/>
    <x v="3"/>
    <s v="Maria"/>
    <d v="2025-05-31T00:00:00"/>
    <s v="1/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0">
  <r>
    <x v="0"/>
    <n v="119"/>
    <s v="Expense"/>
    <x v="0"/>
    <s v="Luiz"/>
    <d v="2025-06-03T00:00:00"/>
    <s v="1/1"/>
  </r>
  <r>
    <x v="1"/>
    <n v="400"/>
    <s v="Expense"/>
    <x v="1"/>
    <s v="Luiz"/>
    <d v="2025-06-03T00:00:00"/>
    <m/>
  </r>
  <r>
    <x v="2"/>
    <n v="289.89999999999998"/>
    <s v="Expense"/>
    <x v="0"/>
    <s v="Maria"/>
    <d v="2025-06-05T00:00:00"/>
    <m/>
  </r>
  <r>
    <x v="3"/>
    <n v="5000"/>
    <s v="Expense"/>
    <x v="2"/>
    <s v="Luiz"/>
    <d v="2025-06-15T00:00:00"/>
    <m/>
  </r>
  <r>
    <x v="4"/>
    <n v="5710.37"/>
    <s v="Income"/>
    <x v="3"/>
    <s v="Luiz"/>
    <d v="2025-06-15T00:00:00"/>
    <m/>
  </r>
  <r>
    <x v="5"/>
    <n v="60"/>
    <s v="Expense"/>
    <x v="1"/>
    <s v="Luiz"/>
    <d v="2025-06-18T00:00:00"/>
    <m/>
  </r>
  <r>
    <x v="6"/>
    <n v="100"/>
    <s v="Expense"/>
    <x v="1"/>
    <s v="Luiz"/>
    <d v="2025-06-25T00:00:00"/>
    <m/>
  </r>
  <r>
    <x v="7"/>
    <n v="66.900000000000006"/>
    <s v="Expense"/>
    <x v="4"/>
    <s v="Luiz"/>
    <d v="2025-06-25T00:00:00"/>
    <m/>
  </r>
  <r>
    <x v="8"/>
    <n v="16.899999999999999"/>
    <s v="Expense"/>
    <x v="4"/>
    <s v="Luiz"/>
    <d v="2025-06-28T00:00:00"/>
    <m/>
  </r>
  <r>
    <x v="9"/>
    <n v="857"/>
    <s v="Expense"/>
    <x v="5"/>
    <s v="Luiz"/>
    <d v="2025-06-12T00:00:00"/>
    <m/>
  </r>
  <r>
    <x v="10"/>
    <n v="123.71"/>
    <s v="Expense"/>
    <x v="5"/>
    <s v="Luiz"/>
    <d v="2025-06-30T00:00:00"/>
    <m/>
  </r>
  <r>
    <x v="11"/>
    <n v="113.75"/>
    <s v="Expense"/>
    <x v="5"/>
    <s v="Luiz"/>
    <d v="2025-06-30T00:00:00"/>
    <m/>
  </r>
  <r>
    <x v="12"/>
    <n v="119.12"/>
    <s v="Expense"/>
    <x v="5"/>
    <s v="Luiz"/>
    <d v="2025-06-30T00:00:00"/>
    <m/>
  </r>
  <r>
    <x v="13"/>
    <n v="4400"/>
    <s v="Income"/>
    <x v="3"/>
    <s v="Luiz"/>
    <d v="2025-06-30T00:00:00"/>
    <m/>
  </r>
  <r>
    <x v="14"/>
    <n v="16071.11"/>
    <s v="Income"/>
    <x v="3"/>
    <s v="Maria"/>
    <d v="2025-06-30T00:00:00"/>
    <m/>
  </r>
  <r>
    <x v="15"/>
    <n v="73.125"/>
    <s v="Expense"/>
    <x v="6"/>
    <s v="Luiz"/>
    <d v="2024-12-03T00:00:00"/>
    <s v="7/12"/>
  </r>
  <r>
    <x v="16"/>
    <n v="346.14"/>
    <s v="Expense"/>
    <x v="7"/>
    <s v="Luiz"/>
    <d v="2024-12-31T00:00:00"/>
    <s v="7/10"/>
  </r>
  <r>
    <x v="17"/>
    <n v="33.36"/>
    <s v="Expense"/>
    <x v="8"/>
    <s v="Luiz"/>
    <d v="2024-12-13T00:00:00"/>
    <s v="7/8"/>
  </r>
  <r>
    <x v="18"/>
    <n v="27.01"/>
    <s v="Expense"/>
    <x v="9"/>
    <s v="Luiz"/>
    <d v="2024-12-31T00:00:00"/>
    <s v="6/6"/>
  </r>
  <r>
    <x v="19"/>
    <n v="68.8"/>
    <s v="Expense"/>
    <x v="9"/>
    <s v="Luiz"/>
    <d v="2025-01-11T00:00:00"/>
    <s v="6/12"/>
  </r>
  <r>
    <x v="20"/>
    <n v="36"/>
    <s v="Expense"/>
    <x v="9"/>
    <s v="Luiz"/>
    <d v="2025-01-23T00:00:00"/>
    <s v="6/6"/>
  </r>
  <r>
    <x v="21"/>
    <n v="49.9"/>
    <s v="Expense"/>
    <x v="4"/>
    <s v="Luiz"/>
    <d v="2025-01-24T00:00:00"/>
    <s v="6/12"/>
  </r>
  <r>
    <x v="22"/>
    <n v="32.99"/>
    <s v="Expense"/>
    <x v="8"/>
    <s v="Luiz"/>
    <d v="2025-01-26T00:00:00"/>
    <s v="6/6"/>
  </r>
  <r>
    <x v="23"/>
    <n v="42.021999999999998"/>
    <s v="Expense"/>
    <x v="10"/>
    <s v="Luiz"/>
    <d v="2025-02-03T00:00:00"/>
    <s v="5/5"/>
  </r>
  <r>
    <x v="24"/>
    <n v="17.815999999999999"/>
    <s v="Expense"/>
    <x v="9"/>
    <s v="Luiz"/>
    <d v="2025-02-03T00:00:00"/>
    <s v="5/5"/>
  </r>
  <r>
    <x v="25"/>
    <n v="42.66"/>
    <s v="Expense"/>
    <x v="8"/>
    <s v="Luiz"/>
    <d v="2025-02-10T00:00:00"/>
    <s v="5/6"/>
  </r>
  <r>
    <x v="26"/>
    <n v="11.87"/>
    <s v="Expense"/>
    <x v="8"/>
    <s v="Maria"/>
    <d v="2025-02-11T00:00:00"/>
    <s v="5/5"/>
  </r>
  <r>
    <x v="27"/>
    <n v="33.166666666666664"/>
    <s v="Expense"/>
    <x v="11"/>
    <s v="Luiz"/>
    <d v="2025-02-13T00:00:00"/>
    <s v="5/6"/>
  </r>
  <r>
    <x v="28"/>
    <n v="5.88"/>
    <s v="Expense"/>
    <x v="8"/>
    <s v="Maria"/>
    <d v="2025-02-17T00:00:00"/>
    <s v="5/5"/>
  </r>
  <r>
    <x v="29"/>
    <n v="116.33"/>
    <s v="Expense"/>
    <x v="8"/>
    <s v="Luiz"/>
    <d v="2025-02-22T00:00:00"/>
    <s v="5/6"/>
  </r>
  <r>
    <x v="30"/>
    <n v="39.134999999999998"/>
    <s v="Expense"/>
    <x v="9"/>
    <s v="Luiz"/>
    <d v="2025-03-02T00:00:00"/>
    <s v="4/12"/>
  </r>
  <r>
    <x v="31"/>
    <n v="173.72499999999999"/>
    <s v="Expense"/>
    <x v="10"/>
    <s v="Luiz"/>
    <d v="2025-03-03T00:00:00"/>
    <s v="4/4"/>
  </r>
  <r>
    <x v="32"/>
    <n v="57.179999999999993"/>
    <s v="Expense"/>
    <x v="9"/>
    <s v="Luiz"/>
    <d v="2025-03-03T00:00:00"/>
    <s v="4/5"/>
  </r>
  <r>
    <x v="33"/>
    <n v="51.137500000000003"/>
    <s v="Expense"/>
    <x v="8"/>
    <s v="Luiz"/>
    <d v="2025-03-03T00:00:00"/>
    <s v="4/4"/>
  </r>
  <r>
    <x v="34"/>
    <n v="52.987499999999997"/>
    <s v="Expense"/>
    <x v="0"/>
    <s v="Luiz"/>
    <d v="2025-03-05T00:00:00"/>
    <s v="4/4"/>
  </r>
  <r>
    <x v="35"/>
    <n v="27.408333333333331"/>
    <s v="Expense"/>
    <x v="8"/>
    <s v="Luiz"/>
    <d v="2025-03-15T00:00:00"/>
    <s v="4/6"/>
  </r>
  <r>
    <x v="36"/>
    <n v="27.406666666666666"/>
    <s v="Expense"/>
    <x v="10"/>
    <s v="Luiz"/>
    <d v="2025-03-15T00:00:00"/>
    <s v="4/6"/>
  </r>
  <r>
    <x v="37"/>
    <n v="36.907499999999999"/>
    <s v="Expense"/>
    <x v="9"/>
    <s v="Maria"/>
    <d v="2025-03-18T00:00:00"/>
    <s v="4/12"/>
  </r>
  <r>
    <x v="38"/>
    <n v="133.25"/>
    <s v="Expense"/>
    <x v="9"/>
    <s v="Maria"/>
    <d v="2025-03-18T00:00:00"/>
    <s v="4/12"/>
  </r>
  <r>
    <x v="39"/>
    <n v="54.991666666666667"/>
    <s v="Expense"/>
    <x v="8"/>
    <s v="Luiz"/>
    <d v="2025-03-26T00:00:00"/>
    <s v="4/6"/>
  </r>
  <r>
    <x v="40"/>
    <n v="52.28875"/>
    <s v="Expense"/>
    <x v="0"/>
    <s v="Luiz"/>
    <d v="2025-04-06T00:00:00"/>
    <s v="3/8"/>
  </r>
  <r>
    <x v="41"/>
    <n v="53.199999999999996"/>
    <s v="Expense"/>
    <x v="8"/>
    <s v="Maria"/>
    <d v="2025-04-14T00:00:00"/>
    <s v="3/3"/>
  </r>
  <r>
    <x v="42"/>
    <n v="123.5"/>
    <s v="Expense"/>
    <x v="8"/>
    <s v="Luiz"/>
    <d v="2025-04-24T00:00:00"/>
    <s v="3/6"/>
  </r>
  <r>
    <x v="43"/>
    <n v="36.199999999999996"/>
    <s v="Expense"/>
    <x v="8"/>
    <s v="Luiz"/>
    <d v="2025-04-25T00:00:00"/>
    <s v="3/3"/>
  </r>
  <r>
    <x v="44"/>
    <n v="50.949999999999996"/>
    <s v="Expense"/>
    <x v="10"/>
    <s v="Luiz"/>
    <d v="2025-04-28T00:00:00"/>
    <s v="3/6"/>
  </r>
  <r>
    <x v="45"/>
    <n v="90.24666666666667"/>
    <s v="Expense"/>
    <x v="10"/>
    <s v="Luiz"/>
    <d v="2025-05-01T00:00:00"/>
    <s v="2/3"/>
  </r>
  <r>
    <x v="46"/>
    <n v="52.06"/>
    <s v="Expense"/>
    <x v="9"/>
    <s v="Luiz"/>
    <d v="2025-05-03T00:00:00"/>
    <s v="2/8"/>
  </r>
  <r>
    <x v="47"/>
    <n v="39.699999999999996"/>
    <s v="Expense"/>
    <x v="11"/>
    <s v="Luiz"/>
    <d v="2025-05-03T00:00:00"/>
    <s v="2/6"/>
  </r>
  <r>
    <x v="48"/>
    <n v="122.45"/>
    <s v="Expense"/>
    <x v="8"/>
    <s v="Maria"/>
    <d v="2025-05-12T00:00:00"/>
    <s v="2/4"/>
  </r>
  <r>
    <x v="31"/>
    <n v="245.4"/>
    <s v="Expense"/>
    <x v="10"/>
    <s v="Luiz"/>
    <d v="2025-05-19T00:00:00"/>
    <s v="2/3"/>
  </r>
  <r>
    <x v="49"/>
    <n v="142.34"/>
    <s v="Expense"/>
    <x v="10"/>
    <s v="Maria"/>
    <d v="2025-05-20T00:00:00"/>
    <s v="2/3"/>
  </r>
  <r>
    <x v="50"/>
    <n v="129.11000000000001"/>
    <s v="Expense"/>
    <x v="12"/>
    <s v="Maria"/>
    <d v="2025-05-21T00:00:00"/>
    <s v="2/2"/>
  </r>
  <r>
    <x v="51"/>
    <n v="133.64000000000001"/>
    <s v="Expense"/>
    <x v="12"/>
    <s v="Maria"/>
    <d v="2025-05-21T00:00:00"/>
    <s v="2/7"/>
  </r>
  <r>
    <x v="52"/>
    <n v="53.569000000000003"/>
    <s v="Expense"/>
    <x v="10"/>
    <s v="Luiz"/>
    <d v="2025-05-22T00:00:00"/>
    <s v="2/10"/>
  </r>
  <r>
    <x v="46"/>
    <n v="40.984999999999999"/>
    <s v="Expense"/>
    <x v="9"/>
    <s v="Luiz"/>
    <d v="2025-05-22T00:00:00"/>
    <s v="2/2"/>
  </r>
  <r>
    <x v="53"/>
    <n v="68.393333333333331"/>
    <s v="Expense"/>
    <x v="10"/>
    <s v="Luiz"/>
    <d v="2025-05-24T00:00:00"/>
    <s v="2/3"/>
  </r>
  <r>
    <x v="54"/>
    <n v="81.599999999999994"/>
    <s v="Expense"/>
    <x v="8"/>
    <s v="Luiz"/>
    <d v="2025-05-28T00:00:00"/>
    <s v="2/5"/>
  </r>
  <r>
    <x v="55"/>
    <n v="39.012500000000003"/>
    <s v="Expense"/>
    <x v="9"/>
    <s v="Luiz"/>
    <d v="2025-05-28T00:00:00"/>
    <s v="2/4"/>
  </r>
  <r>
    <x v="56"/>
    <n v="354"/>
    <s v="Expense"/>
    <x v="13"/>
    <s v="Luiz"/>
    <d v="2025-06-01T00:00:00"/>
    <s v="1/1"/>
  </r>
  <r>
    <x v="57"/>
    <n v="294.55"/>
    <s v="Expense"/>
    <x v="14"/>
    <s v="Luiz"/>
    <d v="2025-06-02T00:00:00"/>
    <s v="1/1"/>
  </r>
  <r>
    <x v="58"/>
    <n v="29.9"/>
    <s v="Expense"/>
    <x v="15"/>
    <s v="Luiz"/>
    <d v="2025-06-03T00:00:00"/>
    <s v="1/1"/>
  </r>
  <r>
    <x v="59"/>
    <n v="47.5"/>
    <s v="Expense"/>
    <x v="9"/>
    <s v="Luiz"/>
    <d v="2025-06-02T00:00:00"/>
    <s v="1/2"/>
  </r>
  <r>
    <x v="60"/>
    <n v="31.995999999999999"/>
    <s v="Expense"/>
    <x v="9"/>
    <s v="Luiz"/>
    <d v="2025-06-03T00:00:00"/>
    <s v="1/5"/>
  </r>
  <r>
    <x v="61"/>
    <n v="107.03"/>
    <s v="Expense"/>
    <x v="9"/>
    <s v="Luiz"/>
    <d v="2025-06-05T00:00:00"/>
    <s v="1/1"/>
  </r>
  <r>
    <x v="62"/>
    <n v="14.9"/>
    <s v="Expense"/>
    <x v="8"/>
    <s v="Maria"/>
    <d v="2025-06-01T00:00:00"/>
    <s v="1/1"/>
  </r>
  <r>
    <x v="63"/>
    <n v="90.27"/>
    <s v="Expense"/>
    <x v="12"/>
    <s v="Maria"/>
    <d v="2025-06-02T00:00:00"/>
    <s v="1/1"/>
  </r>
  <r>
    <x v="63"/>
    <n v="133.64000000000001"/>
    <s v="Expense"/>
    <x v="12"/>
    <s v="Maria"/>
    <d v="2025-06-02T00:00:00"/>
    <s v="1/7"/>
  </r>
  <r>
    <x v="64"/>
    <n v="26.9"/>
    <s v="Expense"/>
    <x v="13"/>
    <s v="Maria"/>
    <d v="2025-06-02T00:00:00"/>
    <s v="1/1"/>
  </r>
  <r>
    <x v="65"/>
    <n v="54.46"/>
    <s v="Expense"/>
    <x v="10"/>
    <s v="Maria"/>
    <d v="2025-06-02T00:00:00"/>
    <s v="1/3"/>
  </r>
  <r>
    <x v="66"/>
    <n v="100"/>
    <s v="Expense"/>
    <x v="12"/>
    <s v="Maria"/>
    <d v="2025-06-02T00:00:00"/>
    <s v="1/1"/>
  </r>
  <r>
    <x v="67"/>
    <n v="54.03"/>
    <s v="Expense"/>
    <x v="13"/>
    <s v="Maria"/>
    <d v="2025-06-03T00:00:00"/>
    <s v="1/1"/>
  </r>
  <r>
    <x v="68"/>
    <n v="12"/>
    <s v="Expense"/>
    <x v="13"/>
    <s v="Maria"/>
    <d v="2025-06-03T00:00:00"/>
    <s v="1/1"/>
  </r>
  <r>
    <x v="69"/>
    <n v="30"/>
    <s v="Expense"/>
    <x v="16"/>
    <s v="Maria"/>
    <d v="2025-06-03T00:00:00"/>
    <s v="1/1"/>
  </r>
  <r>
    <x v="70"/>
    <n v="20"/>
    <s v="Expense"/>
    <x v="17"/>
    <s v="Maria"/>
    <d v="2025-06-02T00:00:00"/>
    <s v="1/1"/>
  </r>
  <r>
    <x v="70"/>
    <n v="20"/>
    <s v="Expense"/>
    <x v="17"/>
    <s v="Maria"/>
    <d v="2025-06-04T00:00:00"/>
    <s v="1/1"/>
  </r>
  <r>
    <x v="71"/>
    <n v="76.790000000000006"/>
    <s v="Expense"/>
    <x v="13"/>
    <s v="Maria"/>
    <d v="2025-06-05T00:00:00"/>
    <s v="1/1"/>
  </r>
  <r>
    <x v="72"/>
    <n v="26"/>
    <s v="Expense"/>
    <x v="8"/>
    <s v="Maria"/>
    <d v="2025-06-08T00:00:00"/>
    <s v="1/1"/>
  </r>
  <r>
    <x v="73"/>
    <n v="51.963333333333331"/>
    <s v="Expense"/>
    <x v="8"/>
    <s v="Maria"/>
    <d v="2025-06-08T00:00:00"/>
    <s v="1/3"/>
  </r>
  <r>
    <x v="74"/>
    <n v="9.98"/>
    <s v="Expense"/>
    <x v="6"/>
    <s v="Luiz"/>
    <d v="2025-06-06T00:00:00"/>
    <s v="1/1"/>
  </r>
  <r>
    <x v="75"/>
    <n v="59.5"/>
    <s v="Expense"/>
    <x v="11"/>
    <s v="Luiz"/>
    <d v="2025-06-06T00:00:00"/>
    <s v="1/1"/>
  </r>
  <r>
    <x v="76"/>
    <n v="28.07"/>
    <s v="Expense"/>
    <x v="17"/>
    <s v="Luiz"/>
    <d v="2025-06-06T00:00:00"/>
    <s v="1/1"/>
  </r>
  <r>
    <x v="77"/>
    <n v="26.333333333333332"/>
    <s v="Expense"/>
    <x v="8"/>
    <s v="Luiz"/>
    <d v="2025-06-06T00:00:00"/>
    <s v="1/3"/>
  </r>
  <r>
    <x v="78"/>
    <n v="110.99666666666667"/>
    <s v="Expense"/>
    <x v="12"/>
    <s v="Luiz"/>
    <d v="2025-06-07T00:00:00"/>
    <s v="1/3"/>
  </r>
  <r>
    <x v="78"/>
    <n v="37.013333333333335"/>
    <s v="Expense"/>
    <x v="12"/>
    <s v="Luiz"/>
    <d v="2025-06-07T00:00:00"/>
    <s v="1/3"/>
  </r>
  <r>
    <x v="79"/>
    <n v="286.39"/>
    <s v="Expense"/>
    <x v="13"/>
    <s v="Luiz"/>
    <d v="2025-06-07T00:00:00"/>
    <s v="1/1"/>
  </r>
  <r>
    <x v="80"/>
    <n v="47.49"/>
    <s v="Expense"/>
    <x v="8"/>
    <s v="Luiz"/>
    <d v="2025-06-07T00:00:00"/>
    <s v="1/1"/>
  </r>
  <r>
    <x v="81"/>
    <n v="23.495000000000001"/>
    <s v="Expense"/>
    <x v="9"/>
    <s v="Luiz"/>
    <d v="2025-06-07T00:00:00"/>
    <s v="1/2"/>
  </r>
  <r>
    <x v="82"/>
    <n v="82.03"/>
    <s v="Expense"/>
    <x v="0"/>
    <s v="Luiz"/>
    <d v="2025-06-08T00:00:00"/>
    <s v="1/1"/>
  </r>
  <r>
    <x v="83"/>
    <n v="77.12"/>
    <s v="Expense"/>
    <x v="11"/>
    <s v="Luiz"/>
    <d v="2025-06-08T00:00:00"/>
    <s v="1/10"/>
  </r>
  <r>
    <x v="84"/>
    <n v="119.77"/>
    <s v="Expense"/>
    <x v="11"/>
    <s v="Luiz"/>
    <d v="2025-06-08T00:00:00"/>
    <s v="1/1"/>
  </r>
  <r>
    <x v="85"/>
    <n v="158.30000000000001"/>
    <s v="Expense"/>
    <x v="1"/>
    <s v="Maria"/>
    <d v="2025-06-09T00:00:00"/>
    <s v="1/1"/>
  </r>
  <r>
    <x v="86"/>
    <n v="6.2"/>
    <s v="Expense"/>
    <x v="11"/>
    <s v="Luiz"/>
    <d v="2025-06-09T00:00:00"/>
    <s v="1/1"/>
  </r>
  <r>
    <x v="87"/>
    <n v="31.6"/>
    <s v="Expense"/>
    <x v="15"/>
    <s v="Luiz"/>
    <d v="2025-06-09T00:00:00"/>
    <s v="1/1"/>
  </r>
  <r>
    <x v="73"/>
    <n v="62.6"/>
    <s v="Expense"/>
    <x v="6"/>
    <s v="Luiz"/>
    <d v="2025-06-10T00:00:00"/>
    <s v="1/1"/>
  </r>
  <r>
    <x v="88"/>
    <n v="5.95"/>
    <s v="Expense"/>
    <x v="13"/>
    <s v="Luiz"/>
    <d v="2025-06-10T00:00:00"/>
    <s v="1/1"/>
  </r>
  <r>
    <x v="58"/>
    <n v="8.9"/>
    <s v="Expense"/>
    <x v="15"/>
    <s v="Luiz"/>
    <d v="2025-06-10T00:00:00"/>
    <s v="1/1"/>
  </r>
  <r>
    <x v="58"/>
    <n v="11.8"/>
    <s v="Expense"/>
    <x v="15"/>
    <s v="Luiz"/>
    <d v="2025-06-11T00:00:00"/>
    <s v="1/1"/>
  </r>
  <r>
    <x v="58"/>
    <n v="13.3"/>
    <s v="Expense"/>
    <x v="15"/>
    <s v="Luiz"/>
    <d v="2025-06-11T00:00:00"/>
    <s v="1/1"/>
  </r>
  <r>
    <x v="89"/>
    <n v="59.8"/>
    <s v="Expense"/>
    <x v="15"/>
    <s v="Luiz"/>
    <d v="2025-06-11T00:00:00"/>
    <s v="1/1"/>
  </r>
  <r>
    <x v="90"/>
    <n v="105.55"/>
    <s v="Expense"/>
    <x v="5"/>
    <s v="Luiz"/>
    <d v="2025-06-11T00:00:00"/>
    <s v="1/1"/>
  </r>
  <r>
    <x v="91"/>
    <n v="11.76"/>
    <s v="Expense"/>
    <x v="11"/>
    <s v="Luiz"/>
    <d v="2025-06-12T00:00:00"/>
    <s v="1/1"/>
  </r>
  <r>
    <x v="92"/>
    <n v="86.79"/>
    <s v="Expense"/>
    <x v="13"/>
    <s v="Luiz"/>
    <d v="2025-06-12T00:00:00"/>
    <s v="1/1"/>
  </r>
  <r>
    <x v="58"/>
    <n v="35.28"/>
    <s v="Expense"/>
    <x v="15"/>
    <s v="Luiz"/>
    <d v="2025-06-12T00:00:00"/>
    <s v="1/1"/>
  </r>
  <r>
    <x v="93"/>
    <n v="84.9"/>
    <s v="Expense"/>
    <x v="8"/>
    <s v="Maria"/>
    <d v="2025-06-12T00:00:00"/>
    <s v="1/1"/>
  </r>
  <r>
    <x v="94"/>
    <n v="9.5"/>
    <s v="Expense"/>
    <x v="13"/>
    <s v="Maria"/>
    <d v="2025-06-12T00:00:00"/>
    <s v="1/1"/>
  </r>
  <r>
    <x v="95"/>
    <n v="69.900000000000006"/>
    <s v="Expense"/>
    <x v="9"/>
    <s v="Maria"/>
    <d v="2025-06-13T00:00:00"/>
    <s v="1/1"/>
  </r>
  <r>
    <x v="96"/>
    <n v="26"/>
    <s v="Expense"/>
    <x v="15"/>
    <s v="Luiz"/>
    <d v="2025-06-13T00:00:00"/>
    <s v="1/1"/>
  </r>
  <r>
    <x v="97"/>
    <n v="25.95"/>
    <s v="Expense"/>
    <x v="15"/>
    <s v="Luiz"/>
    <d v="2025-06-13T00:00:00"/>
    <s v="1/1"/>
  </r>
  <r>
    <x v="98"/>
    <n v="10"/>
    <s v="Expense"/>
    <x v="13"/>
    <s v="Luiz"/>
    <d v="2025-06-13T00:00:00"/>
    <s v="1/1"/>
  </r>
  <r>
    <x v="99"/>
    <n v="12.5"/>
    <s v="Expense"/>
    <x v="13"/>
    <s v="Luiz"/>
    <d v="2025-06-13T00:00:00"/>
    <s v="1/1"/>
  </r>
  <r>
    <x v="100"/>
    <n v="26.9"/>
    <s v="Expense"/>
    <x v="4"/>
    <s v="Luiz"/>
    <d v="2025-06-14T00:00:00"/>
    <s v="1/1"/>
  </r>
  <r>
    <x v="101"/>
    <n v="300"/>
    <s v="Expense"/>
    <x v="8"/>
    <s v="Maria"/>
    <d v="2025-06-14T00:00:00"/>
    <s v="1/1"/>
  </r>
  <r>
    <x v="102"/>
    <n v="30"/>
    <s v="Expense"/>
    <x v="16"/>
    <s v="Maria"/>
    <d v="2025-06-14T00:00:00"/>
    <s v="1/1"/>
  </r>
  <r>
    <x v="103"/>
    <n v="124.9"/>
    <s v="Expense"/>
    <x v="8"/>
    <s v="Maria"/>
    <d v="2025-06-14T00:00:00"/>
    <s v="1/1"/>
  </r>
  <r>
    <x v="88"/>
    <n v="5.95"/>
    <s v="Expense"/>
    <x v="13"/>
    <s v="Maria"/>
    <d v="2025-06-15T00:00:00"/>
    <s v="1/1"/>
  </r>
  <r>
    <x v="104"/>
    <n v="138.91499999999999"/>
    <s v="Expense"/>
    <x v="12"/>
    <s v="Maria"/>
    <d v="2025-06-15T00:00:00"/>
    <s v="1/6"/>
  </r>
  <r>
    <x v="105"/>
    <n v="151.80333333333334"/>
    <s v="Expense"/>
    <x v="12"/>
    <s v="Maria"/>
    <d v="2025-06-15T00:00:00"/>
    <s v="1/6"/>
  </r>
  <r>
    <x v="106"/>
    <n v="22"/>
    <s v="Expense"/>
    <x v="13"/>
    <s v="Luiz"/>
    <d v="2025-06-15T00:00:00"/>
    <s v="1/1"/>
  </r>
  <r>
    <x v="107"/>
    <n v="84.286666666666676"/>
    <s v="Expense"/>
    <x v="9"/>
    <s v="Luiz"/>
    <d v="2025-06-15T00:00:00"/>
    <s v="1/3"/>
  </r>
  <r>
    <x v="58"/>
    <n v="30.09"/>
    <s v="Expense"/>
    <x v="15"/>
    <s v="Maria"/>
    <d v="2025-06-16T00:00:00"/>
    <s v="1/1"/>
  </r>
  <r>
    <x v="58"/>
    <n v="23.59"/>
    <s v="Expense"/>
    <x v="15"/>
    <s v="Luiz"/>
    <d v="2025-06-16T00:00:00"/>
    <s v="1/1"/>
  </r>
  <r>
    <x v="108"/>
    <n v="11.417142857142858"/>
    <s v="Expense"/>
    <x v="8"/>
    <s v="Luiz"/>
    <d v="2025-06-16T00:00:00"/>
    <s v="1/7"/>
  </r>
  <r>
    <x v="109"/>
    <n v="34"/>
    <s v="Expense"/>
    <x v="13"/>
    <s v="Luiz"/>
    <d v="2025-06-16T00:00:00"/>
    <s v="1/1"/>
  </r>
  <r>
    <x v="110"/>
    <n v="6.7"/>
    <s v="Expense"/>
    <x v="10"/>
    <s v="Maria"/>
    <d v="2025-06-16T00:00:00"/>
    <s v="1/1"/>
  </r>
  <r>
    <x v="89"/>
    <n v="259.81"/>
    <s v="Expense"/>
    <x v="14"/>
    <s v="Luiz"/>
    <d v="2025-06-17T00:00:00"/>
    <s v="1/1"/>
  </r>
  <r>
    <x v="111"/>
    <n v="68.373333333333335"/>
    <s v="Expense"/>
    <x v="12"/>
    <s v="Luiz"/>
    <d v="2025-06-17T00:00:00"/>
    <s v="1/3"/>
  </r>
  <r>
    <x v="112"/>
    <n v="98.1"/>
    <s v="Expense"/>
    <x v="10"/>
    <s v="Luiz"/>
    <d v="2025-06-17T00:00:00"/>
    <s v="1/1"/>
  </r>
  <r>
    <x v="113"/>
    <n v="69.7"/>
    <s v="Expense"/>
    <x v="13"/>
    <s v="Luiz"/>
    <d v="2025-06-17T00:00:00"/>
    <s v="1/1"/>
  </r>
  <r>
    <x v="89"/>
    <n v="286.02999999999997"/>
    <s v="Expense"/>
    <x v="14"/>
    <s v="Luiz"/>
    <d v="2025-06-17T00:00:00"/>
    <s v="1/1"/>
  </r>
  <r>
    <x v="66"/>
    <n v="50"/>
    <s v="Expense"/>
    <x v="14"/>
    <s v="Maria"/>
    <d v="2025-06-17T00:00:00"/>
    <s v="1/1"/>
  </r>
  <r>
    <x v="114"/>
    <n v="48"/>
    <s v="Expense"/>
    <x v="13"/>
    <s v="Luiz"/>
    <d v="2025-06-17T00:00:00"/>
    <s v="1/1"/>
  </r>
  <r>
    <x v="115"/>
    <n v="273.45999999999998"/>
    <s v="Expense"/>
    <x v="12"/>
    <s v="Luiz"/>
    <d v="2025-06-17T00:00:00"/>
    <s v="1/1"/>
  </r>
  <r>
    <x v="116"/>
    <n v="20.663333333333334"/>
    <s v="Expense"/>
    <x v="9"/>
    <s v="Luiz"/>
    <d v="2025-06-19T00:00:00"/>
    <s v="1/3"/>
  </r>
  <r>
    <x v="117"/>
    <n v="238.87"/>
    <s v="Expense"/>
    <x v="12"/>
    <s v="Luiz"/>
    <d v="2025-06-19T00:00:00"/>
    <s v="1/1"/>
  </r>
  <r>
    <x v="118"/>
    <n v="79.900000000000006"/>
    <s v="Expense"/>
    <x v="9"/>
    <s v="Luiz"/>
    <d v="2025-06-21T00:00:00"/>
    <s v="1/1"/>
  </r>
  <r>
    <x v="119"/>
    <n v="70"/>
    <s v="Expense"/>
    <x v="10"/>
    <s v="Luiz"/>
    <d v="2025-06-21T00:00:00"/>
    <s v="1/1"/>
  </r>
  <r>
    <x v="102"/>
    <n v="40"/>
    <s v="Expense"/>
    <x v="16"/>
    <s v="Maria"/>
    <d v="2025-06-21T00:00:00"/>
    <s v="1/1"/>
  </r>
  <r>
    <x v="120"/>
    <n v="40"/>
    <s v="Expense"/>
    <x v="13"/>
    <s v="Luiz"/>
    <d v="2025-06-21T00:00:00"/>
    <s v="1/1"/>
  </r>
  <r>
    <x v="89"/>
    <n v="67.73"/>
    <s v="Expense"/>
    <x v="14"/>
    <s v="Luiz"/>
    <d v="2025-06-22T00:00:00"/>
    <s v="1/1"/>
  </r>
  <r>
    <x v="99"/>
    <n v="23"/>
    <s v="Expense"/>
    <x v="13"/>
    <s v="Luiz"/>
    <d v="2025-06-22T00:00:00"/>
    <s v="1/1"/>
  </r>
  <r>
    <x v="66"/>
    <n v="100"/>
    <s v="Expense"/>
    <x v="14"/>
    <s v="Maria"/>
    <d v="2025-06-22T00:00:00"/>
    <s v="1/1"/>
  </r>
  <r>
    <x v="121"/>
    <n v="35"/>
    <s v="Expense"/>
    <x v="1"/>
    <s v="Luiz"/>
    <d v="2025-06-22T00:00:00"/>
    <s v="1/1"/>
  </r>
  <r>
    <x v="122"/>
    <n v="22.349999999999998"/>
    <s v="Expense"/>
    <x v="0"/>
    <s v="Luiz"/>
    <d v="2025-06-23T00:00:00"/>
    <s v="1/12"/>
  </r>
  <r>
    <x v="123"/>
    <n v="54.256250000000001"/>
    <s v="Expense"/>
    <x v="8"/>
    <s v="Luiz"/>
    <d v="2025-06-23T00:00:00"/>
    <s v="1/8"/>
  </r>
  <r>
    <x v="124"/>
    <n v="27.803333333333331"/>
    <s v="Expense"/>
    <x v="10"/>
    <s v="Luiz"/>
    <d v="2025-06-23T00:00:00"/>
    <s v="1/6"/>
  </r>
  <r>
    <x v="125"/>
    <n v="39.123333333333335"/>
    <s v="Expense"/>
    <x v="12"/>
    <s v="Luiz"/>
    <d v="2025-06-23T00:00:00"/>
    <s v="1/3"/>
  </r>
  <r>
    <x v="89"/>
    <n v="175.54"/>
    <s v="Expense"/>
    <x v="15"/>
    <s v="Luiz"/>
    <d v="2025-06-23T00:00:00"/>
    <s v="1/1"/>
  </r>
  <r>
    <x v="126"/>
    <n v="62.44"/>
    <s v="Expense"/>
    <x v="8"/>
    <s v="Luiz"/>
    <d v="2025-06-23T00:00:00"/>
    <s v="1/1"/>
  </r>
  <r>
    <x v="127"/>
    <n v="39.9"/>
    <s v="Expense"/>
    <x v="17"/>
    <s v="Maria"/>
    <d v="2025-06-23T00:00:00"/>
    <s v="1/1"/>
  </r>
  <r>
    <x v="128"/>
    <n v="28.24"/>
    <s v="Expense"/>
    <x v="9"/>
    <s v="Luiz"/>
    <d v="2025-06-24T00:00:00"/>
    <s v="1/1"/>
  </r>
  <r>
    <x v="129"/>
    <n v="222.29999999999998"/>
    <s v="Expense"/>
    <x v="9"/>
    <s v="Luiz"/>
    <d v="2025-06-24T00:00:00"/>
    <s v="1/3"/>
  </r>
  <r>
    <x v="130"/>
    <n v="55.875"/>
    <s v="Expense"/>
    <x v="9"/>
    <s v="Luiz"/>
    <d v="2025-06-24T00:00:00"/>
    <s v="1/8"/>
  </r>
  <r>
    <x v="83"/>
    <n v="36.313333333333333"/>
    <s v="Expense"/>
    <x v="8"/>
    <s v="Luiz"/>
    <d v="2025-06-24T00:00:00"/>
    <s v="1/6"/>
  </r>
  <r>
    <x v="131"/>
    <n v="68"/>
    <s v="Expense"/>
    <x v="9"/>
    <s v="Luiz"/>
    <d v="2025-06-24T00:00:00"/>
    <s v="1/6"/>
  </r>
  <r>
    <x v="132"/>
    <n v="32.71"/>
    <s v="Expense"/>
    <x v="9"/>
    <s v="Luiz"/>
    <d v="2025-06-24T00:00:00"/>
    <s v="1/1"/>
  </r>
  <r>
    <x v="133"/>
    <n v="71.78"/>
    <s v="Expense"/>
    <x v="8"/>
    <s v="Luiz"/>
    <d v="2025-06-24T00:00:00"/>
    <s v="1/1"/>
  </r>
  <r>
    <x v="65"/>
    <n v="50.08"/>
    <s v="Expense"/>
    <x v="10"/>
    <s v="Maria"/>
    <d v="2025-06-24T00:00:00"/>
    <s v="1/1"/>
  </r>
  <r>
    <x v="134"/>
    <n v="41.9"/>
    <s v="Expense"/>
    <x v="8"/>
    <s v="Luiz"/>
    <d v="2025-06-25T00:00:00"/>
    <s v="1/1"/>
  </r>
  <r>
    <x v="135"/>
    <n v="185.11"/>
    <s v="Expense"/>
    <x v="12"/>
    <s v="Luiz"/>
    <d v="2025-06-25T00:00:00"/>
    <s v="1/2"/>
  </r>
  <r>
    <x v="135"/>
    <n v="216.50333333333333"/>
    <s v="Expense"/>
    <x v="12"/>
    <s v="Luiz"/>
    <d v="2025-06-25T00:00:00"/>
    <s v="1/3"/>
  </r>
  <r>
    <x v="136"/>
    <n v="50"/>
    <s v="Expense"/>
    <x v="11"/>
    <s v="Luiz"/>
    <d v="2025-06-26T00:00:00"/>
    <s v="1/10"/>
  </r>
  <r>
    <x v="137"/>
    <n v="195"/>
    <s v="Expense"/>
    <x v="11"/>
    <s v="Luiz"/>
    <d v="2025-06-27T00:00:00"/>
    <s v="1/2"/>
  </r>
  <r>
    <x v="138"/>
    <n v="300.81"/>
    <s v="Expense"/>
    <x v="6"/>
    <s v="Luiz"/>
    <d v="2025-06-27T00:00:00"/>
    <s v="1/1"/>
  </r>
  <r>
    <x v="139"/>
    <n v="460.23"/>
    <s v="Expense"/>
    <x v="13"/>
    <s v="Luiz"/>
    <d v="2025-06-28T00:00:00"/>
    <s v="1/1"/>
  </r>
  <r>
    <x v="140"/>
    <n v="135.16"/>
    <s v="Expense"/>
    <x v="10"/>
    <s v="Luiz"/>
    <d v="2025-06-28T00:00:00"/>
    <s v="1/1"/>
  </r>
  <r>
    <x v="138"/>
    <n v="43.73"/>
    <s v="Expense"/>
    <x v="6"/>
    <s v="Luiz"/>
    <d v="2025-06-28T00:00:00"/>
    <s v="1/1"/>
  </r>
  <r>
    <x v="141"/>
    <n v="162.9"/>
    <s v="Expense"/>
    <x v="13"/>
    <s v="Luiz"/>
    <d v="2025-06-28T00:00:00"/>
    <s v="1/1"/>
  </r>
  <r>
    <x v="142"/>
    <n v="40"/>
    <s v="Expense"/>
    <x v="1"/>
    <s v="Luiz"/>
    <d v="2025-06-29T00:00:00"/>
    <s v="1/1"/>
  </r>
  <r>
    <x v="143"/>
    <n v="100"/>
    <s v="Expense"/>
    <x v="6"/>
    <s v="Luiz"/>
    <d v="2025-06-27T00:00:00"/>
    <s v="1/1"/>
  </r>
  <r>
    <x v="144"/>
    <n v="1650"/>
    <s v="Expense"/>
    <x v="9"/>
    <s v="Both"/>
    <d v="2025-06-30T00:00:00"/>
    <s v="1/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n v="119"/>
    <s v="Expense"/>
    <x v="0"/>
    <s v="Luiz"/>
    <d v="2025-08-03T00:00:00"/>
    <m/>
  </r>
  <r>
    <x v="1"/>
    <n v="400"/>
    <s v="Expense"/>
    <x v="1"/>
    <s v="Luiz"/>
    <d v="2025-08-03T00:00:00"/>
    <m/>
  </r>
  <r>
    <x v="2"/>
    <n v="289.89999999999998"/>
    <s v="Expense"/>
    <x v="0"/>
    <s v="Maria"/>
    <d v="2025-08-05T00:00:00"/>
    <m/>
  </r>
  <r>
    <x v="3"/>
    <n v="106.9"/>
    <s v="Expense"/>
    <x v="2"/>
    <s v="Luiz"/>
    <d v="2025-08-04T00:00:00"/>
    <m/>
  </r>
  <r>
    <x v="4"/>
    <n v="5000"/>
    <s v="Expense"/>
    <x v="3"/>
    <s v="Luiz"/>
    <d v="2025-08-15T00:00:00"/>
    <m/>
  </r>
  <r>
    <x v="5"/>
    <n v="5710.37"/>
    <s v="Income"/>
    <x v="4"/>
    <s v="Luiz"/>
    <d v="2025-08-15T00:00:00"/>
    <m/>
  </r>
  <r>
    <x v="6"/>
    <n v="60"/>
    <s v="Expense"/>
    <x v="1"/>
    <s v="Luiz"/>
    <d v="2025-08-18T00:00:00"/>
    <m/>
  </r>
  <r>
    <x v="7"/>
    <n v="100"/>
    <s v="Expense"/>
    <x v="1"/>
    <s v="Luiz"/>
    <d v="2025-08-25T00:00:00"/>
    <m/>
  </r>
  <r>
    <x v="8"/>
    <n v="49.9"/>
    <s v="Expense"/>
    <x v="5"/>
    <s v="Luiz"/>
    <d v="2025-08-25T00:00:00"/>
    <m/>
  </r>
  <r>
    <x v="9"/>
    <n v="16.899999999999999"/>
    <s v="Expense"/>
    <x v="5"/>
    <s v="Luiz"/>
    <d v="2025-08-28T00:00:00"/>
    <m/>
  </r>
  <r>
    <x v="10"/>
    <n v="857"/>
    <s v="Expense"/>
    <x v="2"/>
    <s v="Luiz"/>
    <d v="2025-08-30T00:00:00"/>
    <m/>
  </r>
  <r>
    <x v="11"/>
    <n v="113.7"/>
    <s v="Expense"/>
    <x v="2"/>
    <s v="Luiz"/>
    <d v="2025-08-30T00:00:00"/>
    <m/>
  </r>
  <r>
    <x v="12"/>
    <n v="113.75"/>
    <s v="Expense"/>
    <x v="2"/>
    <s v="Luiz"/>
    <d v="2025-08-30T00:00:00"/>
    <m/>
  </r>
  <r>
    <x v="13"/>
    <n v="50"/>
    <s v="Expense"/>
    <x v="2"/>
    <s v="Luiz"/>
    <d v="2025-08-30T00:00:00"/>
    <m/>
  </r>
  <r>
    <x v="14"/>
    <n v="394.7"/>
    <s v="Expense"/>
    <x v="2"/>
    <s v="Luiz"/>
    <d v="2025-07-30T00:00:00"/>
    <m/>
  </r>
  <r>
    <x v="15"/>
    <n v="4400"/>
    <s v="Income"/>
    <x v="4"/>
    <s v="Luiz"/>
    <d v="2025-08-30T00:00:00"/>
    <m/>
  </r>
  <r>
    <x v="16"/>
    <n v="16000"/>
    <s v="Income"/>
    <x v="4"/>
    <s v="Maria"/>
    <d v="2025-08-30T00:00:00"/>
    <m/>
  </r>
  <r>
    <x v="17"/>
    <n v="800"/>
    <s v="Expense"/>
    <x v="6"/>
    <s v="Luiz"/>
    <d v="2025-07-30T00:00:00"/>
    <m/>
  </r>
  <r>
    <x v="18"/>
    <n v="2000"/>
    <s v="Expense"/>
    <x v="7"/>
    <s v="Maria"/>
    <d v="2025-08-30T00:00:00"/>
    <m/>
  </r>
  <r>
    <x v="19"/>
    <n v="73.125"/>
    <s v="Expense"/>
    <x v="8"/>
    <s v="Luiz"/>
    <d v="2024-12-03T00:00:00"/>
    <s v="8/12"/>
  </r>
  <r>
    <x v="20"/>
    <n v="346.14"/>
    <s v="Expense"/>
    <x v="9"/>
    <s v="Luiz"/>
    <d v="2024-12-31T00:00:00"/>
    <s v="8/10"/>
  </r>
  <r>
    <x v="21"/>
    <n v="33.36"/>
    <s v="Expense"/>
    <x v="10"/>
    <s v="Luiz"/>
    <d v="2024-12-13T00:00:00"/>
    <s v="8/8"/>
  </r>
  <r>
    <x v="22"/>
    <n v="68.8"/>
    <s v="Expense"/>
    <x v="7"/>
    <s v="Luiz"/>
    <d v="2025-01-11T00:00:00"/>
    <s v="7/12"/>
  </r>
  <r>
    <x v="23"/>
    <n v="49.9"/>
    <s v="Expense"/>
    <x v="5"/>
    <s v="Luiz"/>
    <d v="2025-01-24T00:00:00"/>
    <s v="7/12"/>
  </r>
  <r>
    <x v="24"/>
    <n v="39.134999999999998"/>
    <s v="Expense"/>
    <x v="7"/>
    <s v="Luiz"/>
    <d v="2025-03-02T00:00:00"/>
    <s v="5/12"/>
  </r>
  <r>
    <x v="25"/>
    <n v="27.408333333333331"/>
    <s v="Expense"/>
    <x v="10"/>
    <s v="Luiz"/>
    <d v="2025-03-15T00:00:00"/>
    <s v="6/6"/>
  </r>
  <r>
    <x v="26"/>
    <n v="27.406666666666666"/>
    <s v="Expense"/>
    <x v="11"/>
    <s v="Luiz"/>
    <d v="2025-03-15T00:00:00"/>
    <s v="6/6"/>
  </r>
  <r>
    <x v="27"/>
    <n v="36.907499999999999"/>
    <s v="Expense"/>
    <x v="7"/>
    <s v="Maria"/>
    <d v="2025-03-18T00:00:00"/>
    <s v="6/12"/>
  </r>
  <r>
    <x v="28"/>
    <n v="133.25"/>
    <s v="Expense"/>
    <x v="7"/>
    <s v="Maria"/>
    <d v="2025-03-18T00:00:00"/>
    <s v="6/12"/>
  </r>
  <r>
    <x v="29"/>
    <n v="54.991666666666667"/>
    <s v="Expense"/>
    <x v="10"/>
    <s v="Luiz"/>
    <d v="2025-03-26T00:00:00"/>
    <s v="6/6"/>
  </r>
  <r>
    <x v="30"/>
    <n v="52.28875"/>
    <s v="Expense"/>
    <x v="0"/>
    <s v="Luiz"/>
    <d v="2025-04-06T00:00:00"/>
    <s v="5/8"/>
  </r>
  <r>
    <x v="31"/>
    <n v="123.5"/>
    <s v="Expense"/>
    <x v="10"/>
    <s v="Luiz"/>
    <d v="2025-04-24T00:00:00"/>
    <s v="5/6"/>
  </r>
  <r>
    <x v="32"/>
    <n v="50.949999999999996"/>
    <s v="Expense"/>
    <x v="11"/>
    <s v="Luiz"/>
    <d v="2025-04-28T00:00:00"/>
    <s v="5/6"/>
  </r>
  <r>
    <x v="33"/>
    <n v="52.06"/>
    <s v="Expense"/>
    <x v="7"/>
    <s v="Luiz"/>
    <d v="2025-05-03T00:00:00"/>
    <s v="4/8"/>
  </r>
  <r>
    <x v="34"/>
    <n v="39.699999999999996"/>
    <s v="Expense"/>
    <x v="6"/>
    <s v="Luiz"/>
    <d v="2025-05-03T00:00:00"/>
    <s v="4/6"/>
  </r>
  <r>
    <x v="35"/>
    <n v="122.45"/>
    <s v="Expense"/>
    <x v="10"/>
    <s v="Maria"/>
    <d v="2025-05-12T00:00:00"/>
    <s v="4/4"/>
  </r>
  <r>
    <x v="36"/>
    <n v="133.64000000000001"/>
    <s v="Expense"/>
    <x v="12"/>
    <s v="Maria"/>
    <d v="2025-05-21T00:00:00"/>
    <s v="4/7"/>
  </r>
  <r>
    <x v="37"/>
    <n v="53.569000000000003"/>
    <s v="Expense"/>
    <x v="11"/>
    <s v="Luiz"/>
    <d v="2025-05-22T00:00:00"/>
    <s v="4/10"/>
  </r>
  <r>
    <x v="38"/>
    <n v="81.599999999999994"/>
    <s v="Expense"/>
    <x v="10"/>
    <s v="Luiz"/>
    <d v="2025-05-28T00:00:00"/>
    <s v="4/5"/>
  </r>
  <r>
    <x v="39"/>
    <n v="39.012500000000003"/>
    <s v="Expense"/>
    <x v="7"/>
    <s v="Luiz"/>
    <d v="2025-05-28T00:00:00"/>
    <s v="4/4"/>
  </r>
  <r>
    <x v="40"/>
    <n v="31.995999999999999"/>
    <s v="Expense"/>
    <x v="7"/>
    <s v="Luiz"/>
    <d v="2025-06-03T00:00:00"/>
    <s v="3/5"/>
  </r>
  <r>
    <x v="41"/>
    <n v="54.46"/>
    <s v="Expense"/>
    <x v="11"/>
    <s v="Maria"/>
    <d v="2025-06-02T00:00:00"/>
    <s v="3/3"/>
  </r>
  <r>
    <x v="42"/>
    <n v="133.64000000000001"/>
    <s v="Expense"/>
    <x v="12"/>
    <s v="Maria"/>
    <d v="2025-06-02T00:00:00"/>
    <s v="3/7"/>
  </r>
  <r>
    <x v="43"/>
    <n v="51.963333333333331"/>
    <s v="Expense"/>
    <x v="10"/>
    <s v="Maria"/>
    <d v="2025-06-08T00:00:00"/>
    <s v="3/3"/>
  </r>
  <r>
    <x v="44"/>
    <n v="26.333333333333332"/>
    <s v="Expense"/>
    <x v="10"/>
    <s v="Luiz"/>
    <d v="2025-06-06T00:00:00"/>
    <s v="3/3"/>
  </r>
  <r>
    <x v="45"/>
    <n v="77.12"/>
    <s v="Expense"/>
    <x v="6"/>
    <s v="Luiz"/>
    <d v="2025-06-08T00:00:00"/>
    <s v="3/10"/>
  </r>
  <r>
    <x v="46"/>
    <n v="110.99666666666667"/>
    <s v="Expense"/>
    <x v="12"/>
    <s v="Luiz"/>
    <d v="2025-06-07T00:00:00"/>
    <s v="3/3"/>
  </r>
  <r>
    <x v="46"/>
    <n v="37.013333333333335"/>
    <s v="Expense"/>
    <x v="12"/>
    <s v="Luiz"/>
    <d v="2025-06-07T00:00:00"/>
    <s v="3/3"/>
  </r>
  <r>
    <x v="47"/>
    <n v="138.91499999999999"/>
    <s v="Expense"/>
    <x v="12"/>
    <s v="Maria"/>
    <d v="2025-06-15T00:00:00"/>
    <s v="3/6"/>
  </r>
  <r>
    <x v="48"/>
    <n v="151.80333333333334"/>
    <s v="Expense"/>
    <x v="12"/>
    <s v="Maria"/>
    <d v="2025-06-15T00:00:00"/>
    <s v="3/6"/>
  </r>
  <r>
    <x v="49"/>
    <n v="84.286666666666676"/>
    <s v="Expense"/>
    <x v="7"/>
    <s v="Luiz"/>
    <d v="2025-06-15T00:00:00"/>
    <s v="3/3"/>
  </r>
  <r>
    <x v="50"/>
    <n v="11.417142857142858"/>
    <s v="Expense"/>
    <x v="10"/>
    <s v="Luiz"/>
    <d v="2025-06-16T00:00:00"/>
    <s v="3/7"/>
  </r>
  <r>
    <x v="51"/>
    <n v="68.373333333333335"/>
    <s v="Expense"/>
    <x v="12"/>
    <s v="Luiz"/>
    <d v="2025-06-17T00:00:00"/>
    <s v="3/3"/>
  </r>
  <r>
    <x v="52"/>
    <n v="20.663333333333334"/>
    <s v="Expense"/>
    <x v="7"/>
    <s v="Luiz"/>
    <d v="2025-06-19T00:00:00"/>
    <s v="3/3"/>
  </r>
  <r>
    <x v="53"/>
    <n v="22.349999999999998"/>
    <s v="Expense"/>
    <x v="0"/>
    <s v="Luiz"/>
    <d v="2025-06-23T00:00:00"/>
    <s v="3/12"/>
  </r>
  <r>
    <x v="54"/>
    <n v="54.256250000000001"/>
    <s v="Expense"/>
    <x v="10"/>
    <s v="Luiz"/>
    <d v="2025-06-23T00:00:00"/>
    <s v="3/8"/>
  </r>
  <r>
    <x v="55"/>
    <n v="27.803333333333331"/>
    <s v="Expense"/>
    <x v="11"/>
    <s v="Luiz"/>
    <d v="2025-06-23T00:00:00"/>
    <s v="3/6"/>
  </r>
  <r>
    <x v="56"/>
    <n v="39.123333333333335"/>
    <s v="Expense"/>
    <x v="12"/>
    <s v="Luiz"/>
    <d v="2025-06-23T00:00:00"/>
    <s v="3/3"/>
  </r>
  <r>
    <x v="57"/>
    <n v="222.29999999999998"/>
    <s v="Expense"/>
    <x v="7"/>
    <s v="Luiz"/>
    <d v="2025-06-24T00:00:00"/>
    <s v="3/3"/>
  </r>
  <r>
    <x v="58"/>
    <n v="55.875"/>
    <s v="Expense"/>
    <x v="7"/>
    <s v="Luiz"/>
    <d v="2025-06-24T00:00:00"/>
    <s v="3/8"/>
  </r>
  <r>
    <x v="45"/>
    <n v="36.313333333333333"/>
    <s v="Expense"/>
    <x v="10"/>
    <s v="Luiz"/>
    <d v="2025-06-24T00:00:00"/>
    <s v="3/6"/>
  </r>
  <r>
    <x v="59"/>
    <n v="68"/>
    <s v="Expense"/>
    <x v="7"/>
    <s v="Luiz"/>
    <d v="2025-06-24T00:00:00"/>
    <s v="3/6"/>
  </r>
  <r>
    <x v="60"/>
    <n v="216.50333333333333"/>
    <s v="Expense"/>
    <x v="12"/>
    <s v="Luiz"/>
    <d v="2025-06-25T00:00:00"/>
    <s v="3/3"/>
  </r>
  <r>
    <x v="61"/>
    <n v="50"/>
    <s v="Expense"/>
    <x v="6"/>
    <s v="Luiz"/>
    <d v="2025-06-26T00:00:00"/>
    <s v="3/10"/>
  </r>
  <r>
    <x v="62"/>
    <n v="55.68"/>
    <s v="Expense"/>
    <x v="8"/>
    <s v="Maria"/>
    <d v="2025-07-03T00:00:00"/>
    <s v="2/3"/>
  </r>
  <r>
    <x v="63"/>
    <n v="30.66"/>
    <s v="Expense"/>
    <x v="6"/>
    <s v="Luiz"/>
    <d v="2025-07-06T00:00:00"/>
    <s v="2/4"/>
  </r>
  <r>
    <x v="64"/>
    <n v="40.630000000000003"/>
    <s v="Expense"/>
    <x v="7"/>
    <s v="Luiz"/>
    <d v="2025-07-10T00:00:00"/>
    <s v="2/3"/>
  </r>
  <r>
    <x v="65"/>
    <n v="129.54666666666665"/>
    <s v="Expense"/>
    <x v="8"/>
    <s v="Luiz"/>
    <d v="2025-07-11T00:00:00"/>
    <s v="2/3"/>
  </r>
  <r>
    <x v="66"/>
    <n v="89"/>
    <s v="Expense"/>
    <x v="5"/>
    <s v="Luiz"/>
    <d v="2025-07-14T00:00:00"/>
    <s v="2/12"/>
  </r>
  <r>
    <x v="67"/>
    <n v="153.03"/>
    <s v="Expense"/>
    <x v="12"/>
    <s v="Maria"/>
    <d v="2025-07-14T00:00:00"/>
    <s v="2/3"/>
  </r>
  <r>
    <x v="68"/>
    <n v="136.0575"/>
    <s v="Expense"/>
    <x v="12"/>
    <s v="Maria"/>
    <d v="2025-07-15T00:00:00"/>
    <s v="2/12"/>
  </r>
  <r>
    <x v="69"/>
    <n v="32.497500000000002"/>
    <s v="Expense"/>
    <x v="7"/>
    <s v="Luiz"/>
    <d v="2025-07-14T00:00:00"/>
    <s v="2/4"/>
  </r>
  <r>
    <x v="70"/>
    <n v="49.45"/>
    <s v="Expense"/>
    <x v="7"/>
    <s v="Luiz"/>
    <d v="2025-07-15T00:00:00"/>
    <s v="2/2"/>
  </r>
  <r>
    <x v="71"/>
    <n v="75.993333333333325"/>
    <s v="Expense"/>
    <x v="7"/>
    <s v="Luiz"/>
    <d v="2025-07-16T00:00:00"/>
    <s v="2/3"/>
  </r>
  <r>
    <x v="72"/>
    <n v="81.563999999999993"/>
    <s v="Expense"/>
    <x v="10"/>
    <s v="Luiz"/>
    <d v="2025-07-16T00:00:00"/>
    <s v="2/10"/>
  </r>
  <r>
    <x v="73"/>
    <n v="42.616666666666667"/>
    <s v="Expense"/>
    <x v="10"/>
    <s v="Luiz"/>
    <d v="2025-07-16T00:00:00"/>
    <s v="2/6"/>
  </r>
  <r>
    <x v="74"/>
    <n v="30"/>
    <s v="Expense"/>
    <x v="10"/>
    <s v="Luiz"/>
    <d v="2025-07-16T00:00:00"/>
    <s v="2/10"/>
  </r>
  <r>
    <x v="75"/>
    <n v="144.74666666666667"/>
    <s v="Expense"/>
    <x v="12"/>
    <s v="Luiz"/>
    <d v="2025-07-17T00:00:00"/>
    <s v="2/3"/>
  </r>
  <r>
    <x v="76"/>
    <n v="411.48"/>
    <s v="Expense"/>
    <x v="13"/>
    <s v="Maria"/>
    <d v="2025-07-18T00:00:00"/>
    <s v="2/12"/>
  </r>
  <r>
    <x v="77"/>
    <n v="99.95"/>
    <s v="Expense"/>
    <x v="10"/>
    <s v="Maria"/>
    <d v="2025-07-19T00:00:00"/>
    <s v="2/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x v="0"/>
    <n v="289"/>
    <s v="Expense"/>
    <x v="0"/>
    <s v="Luiz"/>
    <s v="12/3/2024"/>
    <m/>
  </r>
  <r>
    <x v="1"/>
    <n v="400"/>
    <s v="Expense"/>
    <x v="1"/>
    <s v="Luiz"/>
    <s v="12/3/2024"/>
    <m/>
  </r>
  <r>
    <x v="2"/>
    <n v="289.89999999999998"/>
    <s v="Expense"/>
    <x v="0"/>
    <s v="Maria"/>
    <s v="12/5/2024"/>
    <m/>
  </r>
  <r>
    <x v="3"/>
    <n v="250"/>
    <s v="Expense"/>
    <x v="2"/>
    <s v="Luiz"/>
    <s v="12/13/2024"/>
    <m/>
  </r>
  <r>
    <x v="4"/>
    <n v="5000"/>
    <s v="Expense"/>
    <x v="3"/>
    <s v="Luiz"/>
    <s v="12/15/2024"/>
    <m/>
  </r>
  <r>
    <x v="5"/>
    <n v="5710.37"/>
    <s v="Income"/>
    <x v="4"/>
    <s v="Luiz"/>
    <s v="12/15/2024"/>
    <m/>
  </r>
  <r>
    <x v="6"/>
    <n v="60"/>
    <s v="Expense"/>
    <x v="1"/>
    <s v="Luiz"/>
    <s v="12/18/2024"/>
    <m/>
  </r>
  <r>
    <x v="7"/>
    <n v="100"/>
    <s v="Expense"/>
    <x v="1"/>
    <s v="Luiz"/>
    <s v="12/25/2024"/>
    <m/>
  </r>
  <r>
    <x v="8"/>
    <n v="49.9"/>
    <s v="Expense"/>
    <x v="5"/>
    <s v="Luiz"/>
    <s v="12/25/2024"/>
    <m/>
  </r>
  <r>
    <x v="9"/>
    <n v="16.899999999999999"/>
    <s v="Expense"/>
    <x v="5"/>
    <s v="Luiz"/>
    <s v="12/28/2024"/>
    <m/>
  </r>
  <r>
    <x v="10"/>
    <n v="113.75"/>
    <s v="Expense"/>
    <x v="2"/>
    <s v="Luiz"/>
    <d v="2025-08-30T00:00:00"/>
    <m/>
  </r>
  <r>
    <x v="11"/>
    <n v="857"/>
    <s v="Expense"/>
    <x v="2"/>
    <s v="Luiz"/>
    <s v="12/30/2024"/>
    <m/>
  </r>
  <r>
    <x v="12"/>
    <n v="113.7"/>
    <s v="Expense"/>
    <x v="2"/>
    <s v="Luiz"/>
    <s v="12/30/2024"/>
    <m/>
  </r>
  <r>
    <x v="13"/>
    <n v="100"/>
    <s v="Expense"/>
    <x v="2"/>
    <s v="Luiz"/>
    <s v="12/30/2024"/>
    <m/>
  </r>
  <r>
    <x v="14"/>
    <n v="394.7"/>
    <s v="Expense"/>
    <x v="2"/>
    <s v="Luiz"/>
    <d v="2025-07-30T00:00:00"/>
    <m/>
  </r>
  <r>
    <x v="15"/>
    <n v="4400"/>
    <s v="Income"/>
    <x v="4"/>
    <s v="Luiz"/>
    <s v="12/30/2024"/>
    <m/>
  </r>
  <r>
    <x v="16"/>
    <n v="16000"/>
    <s v="Income"/>
    <x v="4"/>
    <s v="Maria"/>
    <s v="12/30/2024"/>
    <m/>
  </r>
  <r>
    <x v="17"/>
    <n v="800"/>
    <s v="Expense"/>
    <x v="6"/>
    <s v="Luiz"/>
    <d v="2025-07-30T00:00:00"/>
    <m/>
  </r>
  <r>
    <x v="18"/>
    <n v="2000"/>
    <s v="Expense"/>
    <x v="7"/>
    <s v="Maria"/>
    <d v="2025-07-30T00:00:00"/>
    <m/>
  </r>
  <r>
    <x v="19"/>
    <n v="73.125"/>
    <s v="Expense"/>
    <x v="8"/>
    <s v="Luiz"/>
    <d v="2024-12-03T00:00:00"/>
    <s v="9/12"/>
  </r>
  <r>
    <x v="20"/>
    <n v="346.14"/>
    <s v="Expense"/>
    <x v="9"/>
    <s v="Luiz"/>
    <d v="2024-12-31T00:00:00"/>
    <s v="9/10"/>
  </r>
  <r>
    <x v="21"/>
    <n v="68.8"/>
    <s v="Expense"/>
    <x v="7"/>
    <s v="Luiz"/>
    <d v="2025-01-11T00:00:00"/>
    <s v="8/12"/>
  </r>
  <r>
    <x v="22"/>
    <n v="49.9"/>
    <s v="Expense"/>
    <x v="5"/>
    <s v="Luiz"/>
    <d v="2025-01-24T00:00:00"/>
    <s v="8/12"/>
  </r>
  <r>
    <x v="23"/>
    <n v="39.134999999999998"/>
    <s v="Expense"/>
    <x v="7"/>
    <s v="Luiz"/>
    <d v="2025-03-02T00:00:00"/>
    <s v="6/12"/>
  </r>
  <r>
    <x v="24"/>
    <n v="36.907499999999999"/>
    <s v="Expense"/>
    <x v="7"/>
    <s v="Maria"/>
    <d v="2025-03-18T00:00:00"/>
    <s v="7/12"/>
  </r>
  <r>
    <x v="25"/>
    <n v="133.25"/>
    <s v="Expense"/>
    <x v="7"/>
    <s v="Maria"/>
    <d v="2025-03-18T00:00:00"/>
    <s v="7/12"/>
  </r>
  <r>
    <x v="26"/>
    <n v="52.28875"/>
    <s v="Expense"/>
    <x v="0"/>
    <s v="Luiz"/>
    <d v="2025-04-06T00:00:00"/>
    <s v="6/8"/>
  </r>
  <r>
    <x v="27"/>
    <n v="123.5"/>
    <s v="Expense"/>
    <x v="10"/>
    <s v="Luiz"/>
    <d v="2025-04-24T00:00:00"/>
    <s v="6/6"/>
  </r>
  <r>
    <x v="28"/>
    <n v="50.949999999999996"/>
    <s v="Expense"/>
    <x v="11"/>
    <s v="Luiz"/>
    <d v="2025-04-28T00:00:00"/>
    <s v="6/6"/>
  </r>
  <r>
    <x v="29"/>
    <n v="52.06"/>
    <s v="Expense"/>
    <x v="7"/>
    <s v="Luiz"/>
    <d v="2025-05-03T00:00:00"/>
    <s v="5/8"/>
  </r>
  <r>
    <x v="30"/>
    <n v="39.699999999999996"/>
    <s v="Expense"/>
    <x v="6"/>
    <s v="Luiz"/>
    <d v="2025-05-03T00:00:00"/>
    <s v="5/6"/>
  </r>
  <r>
    <x v="31"/>
    <n v="53.569000000000003"/>
    <s v="Expense"/>
    <x v="11"/>
    <s v="Luiz"/>
    <d v="2025-05-22T00:00:00"/>
    <s v="5/10"/>
  </r>
  <r>
    <x v="32"/>
    <n v="81.599999999999994"/>
    <s v="Expense"/>
    <x v="10"/>
    <s v="Luiz"/>
    <d v="2025-05-28T00:00:00"/>
    <s v="5/5"/>
  </r>
  <r>
    <x v="33"/>
    <n v="31.995999999999999"/>
    <s v="Expense"/>
    <x v="7"/>
    <s v="Luiz"/>
    <d v="2025-06-03T00:00:00"/>
    <s v="4/5"/>
  </r>
  <r>
    <x v="34"/>
    <n v="133.64000000000001"/>
    <s v="Expense"/>
    <x v="12"/>
    <s v="Maria"/>
    <d v="2025-05-21T00:00:00"/>
    <s v="5/7"/>
  </r>
  <r>
    <x v="35"/>
    <n v="133.64000000000001"/>
    <s v="Expense"/>
    <x v="12"/>
    <s v="Maria"/>
    <d v="2025-06-02T00:00:00"/>
    <s v="4/7"/>
  </r>
  <r>
    <x v="36"/>
    <n v="77.12"/>
    <s v="Expense"/>
    <x v="6"/>
    <s v="Luiz"/>
    <d v="2025-06-08T00:00:00"/>
    <s v="4/10"/>
  </r>
  <r>
    <x v="37"/>
    <n v="138.91499999999999"/>
    <s v="Expense"/>
    <x v="12"/>
    <s v="Maria"/>
    <d v="2025-06-15T00:00:00"/>
    <s v="4/6"/>
  </r>
  <r>
    <x v="38"/>
    <n v="151.80333333333334"/>
    <s v="Expense"/>
    <x v="12"/>
    <s v="Maria"/>
    <d v="2025-06-15T00:00:00"/>
    <s v="4/6"/>
  </r>
  <r>
    <x v="39"/>
    <n v="11.417142857142858"/>
    <s v="Expense"/>
    <x v="10"/>
    <s v="Luiz"/>
    <d v="2025-06-16T00:00:00"/>
    <s v="4/7"/>
  </r>
  <r>
    <x v="40"/>
    <n v="22.349999999999998"/>
    <s v="Expense"/>
    <x v="0"/>
    <s v="Luiz"/>
    <d v="2025-06-23T00:00:00"/>
    <s v="4/12"/>
  </r>
  <r>
    <x v="41"/>
    <n v="54.256250000000001"/>
    <s v="Expense"/>
    <x v="10"/>
    <s v="Luiz"/>
    <d v="2025-06-23T00:00:00"/>
    <s v="4/8"/>
  </r>
  <r>
    <x v="42"/>
    <n v="27.803333333333331"/>
    <s v="Expense"/>
    <x v="11"/>
    <s v="Luiz"/>
    <d v="2025-06-23T00:00:00"/>
    <s v="4/6"/>
  </r>
  <r>
    <x v="43"/>
    <n v="55.875"/>
    <s v="Expense"/>
    <x v="7"/>
    <s v="Luiz"/>
    <d v="2025-06-24T00:00:00"/>
    <s v="4/8"/>
  </r>
  <r>
    <x v="36"/>
    <n v="36.313333333333333"/>
    <s v="Expense"/>
    <x v="10"/>
    <s v="Luiz"/>
    <d v="2025-06-24T00:00:00"/>
    <s v="4/6"/>
  </r>
  <r>
    <x v="44"/>
    <n v="68"/>
    <s v="Expense"/>
    <x v="7"/>
    <s v="Luiz"/>
    <d v="2025-06-24T00:00:00"/>
    <s v="4/6"/>
  </r>
  <r>
    <x v="45"/>
    <n v="50"/>
    <s v="Expense"/>
    <x v="6"/>
    <s v="Luiz"/>
    <d v="2025-06-26T00:00:00"/>
    <s v="4/10"/>
  </r>
  <r>
    <x v="46"/>
    <n v="30.66"/>
    <s v="Expense"/>
    <x v="6"/>
    <s v="Luiz"/>
    <d v="2025-07-06T00:00:00"/>
    <s v="3/4"/>
  </r>
  <r>
    <x v="47"/>
    <n v="55.68"/>
    <s v="Expense"/>
    <x v="8"/>
    <s v="Maria"/>
    <d v="2025-07-03T00:00:00"/>
    <s v="3/3"/>
  </r>
  <r>
    <x v="48"/>
    <n v="40.630000000000003"/>
    <s v="Expense"/>
    <x v="7"/>
    <s v="Luiz"/>
    <d v="2025-07-10T00:00:00"/>
    <s v="3/3"/>
  </r>
  <r>
    <x v="49"/>
    <n v="129.54666666666665"/>
    <s v="Expense"/>
    <x v="8"/>
    <s v="Luiz"/>
    <d v="2025-07-11T00:00:00"/>
    <s v="3/3"/>
  </r>
  <r>
    <x v="50"/>
    <n v="89"/>
    <s v="Expense"/>
    <x v="5"/>
    <s v="Luiz"/>
    <d v="2025-07-14T00:00:00"/>
    <s v="3/12"/>
  </r>
  <r>
    <x v="51"/>
    <n v="153.03"/>
    <s v="Expense"/>
    <x v="12"/>
    <s v="Maria"/>
    <d v="2025-07-14T00:00:00"/>
    <s v="3/3"/>
  </r>
  <r>
    <x v="52"/>
    <n v="136.0575"/>
    <s v="Expense"/>
    <x v="12"/>
    <s v="Maria"/>
    <d v="2025-07-15T00:00:00"/>
    <s v="3/12"/>
  </r>
  <r>
    <x v="53"/>
    <n v="32.497500000000002"/>
    <s v="Expense"/>
    <x v="7"/>
    <s v="Luiz"/>
    <d v="2025-07-14T00:00:00"/>
    <s v="3/4"/>
  </r>
  <r>
    <x v="54"/>
    <n v="75.993333333333325"/>
    <s v="Expense"/>
    <x v="7"/>
    <s v="Luiz"/>
    <d v="2025-07-16T00:00:00"/>
    <s v="3/3"/>
  </r>
  <r>
    <x v="55"/>
    <n v="81.563999999999993"/>
    <s v="Expense"/>
    <x v="10"/>
    <s v="Luiz"/>
    <d v="2025-07-16T00:00:00"/>
    <s v="3/10"/>
  </r>
  <r>
    <x v="56"/>
    <n v="42.616666666666667"/>
    <s v="Expense"/>
    <x v="10"/>
    <s v="Luiz"/>
    <d v="2025-07-16T00:00:00"/>
    <s v="3/6"/>
  </r>
  <r>
    <x v="57"/>
    <n v="30"/>
    <s v="Expense"/>
    <x v="10"/>
    <s v="Luiz"/>
    <d v="2025-07-16T00:00:00"/>
    <s v="3/10"/>
  </r>
  <r>
    <x v="58"/>
    <n v="144.74666666666667"/>
    <s v="Expense"/>
    <x v="12"/>
    <s v="Luiz"/>
    <d v="2025-07-17T00:00:00"/>
    <s v="3/3"/>
  </r>
  <r>
    <x v="59"/>
    <n v="411.48"/>
    <s v="Expense"/>
    <x v="13"/>
    <s v="Maria"/>
    <d v="2025-07-18T00:00:00"/>
    <s v="3/12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  <n v="272"/>
    <s v="Expense"/>
    <x v="0"/>
    <s v="Luiz"/>
    <s v="12/3/2024"/>
    <m/>
  </r>
  <r>
    <x v="1"/>
    <n v="400"/>
    <s v="Expense"/>
    <x v="1"/>
    <s v="Luiz"/>
    <s v="12/3/2024"/>
    <m/>
  </r>
  <r>
    <x v="2"/>
    <n v="289.89999999999998"/>
    <s v="Expense"/>
    <x v="0"/>
    <s v="Maria"/>
    <s v="12/5/2024"/>
    <m/>
  </r>
  <r>
    <x v="3"/>
    <n v="250"/>
    <s v="Expense"/>
    <x v="2"/>
    <s v="Luiz"/>
    <s v="12/13/2024"/>
    <m/>
  </r>
  <r>
    <x v="4"/>
    <n v="113.75"/>
    <s v="Expense"/>
    <x v="2"/>
    <s v="Luiz"/>
    <d v="2025-08-30T00:00:00"/>
    <m/>
  </r>
  <r>
    <x v="5"/>
    <n v="5000"/>
    <s v="Expense"/>
    <x v="3"/>
    <s v="Luiz"/>
    <s v="12/15/2024"/>
    <m/>
  </r>
  <r>
    <x v="6"/>
    <n v="5710.37"/>
    <s v="Income"/>
    <x v="4"/>
    <s v="Luiz"/>
    <s v="12/15/2024"/>
    <m/>
  </r>
  <r>
    <x v="7"/>
    <n v="60"/>
    <s v="Expense"/>
    <x v="1"/>
    <s v="Luiz"/>
    <s v="12/18/2024"/>
    <m/>
  </r>
  <r>
    <x v="8"/>
    <n v="100"/>
    <s v="Expense"/>
    <x v="1"/>
    <s v="Luiz"/>
    <s v="12/25/2024"/>
    <m/>
  </r>
  <r>
    <x v="9"/>
    <n v="49.9"/>
    <s v="Expense"/>
    <x v="5"/>
    <s v="Luiz"/>
    <s v="12/25/2024"/>
    <m/>
  </r>
  <r>
    <x v="10"/>
    <n v="16.899999999999999"/>
    <s v="Expense"/>
    <x v="5"/>
    <s v="Luiz"/>
    <s v="12/28/2024"/>
    <m/>
  </r>
  <r>
    <x v="11"/>
    <n v="857"/>
    <s v="Expense"/>
    <x v="2"/>
    <s v="Luiz"/>
    <s v="12/30/2024"/>
    <m/>
  </r>
  <r>
    <x v="12"/>
    <n v="113.7"/>
    <s v="Expense"/>
    <x v="2"/>
    <s v="Luiz"/>
    <s v="12/30/2024"/>
    <m/>
  </r>
  <r>
    <x v="13"/>
    <n v="100"/>
    <s v="Expense"/>
    <x v="2"/>
    <s v="Luiz"/>
    <s v="12/30/2024"/>
    <m/>
  </r>
  <r>
    <x v="14"/>
    <n v="4400"/>
    <s v="Income"/>
    <x v="4"/>
    <s v="Luiz"/>
    <s v="12/30/2024"/>
    <m/>
  </r>
  <r>
    <x v="15"/>
    <n v="16000"/>
    <s v="Income"/>
    <x v="4"/>
    <s v="Maria"/>
    <s v="12/30/2024"/>
    <m/>
  </r>
  <r>
    <x v="16"/>
    <n v="800"/>
    <s v="Expense"/>
    <x v="6"/>
    <s v="Luiz"/>
    <d v="2025-07-30T00:00:00"/>
    <m/>
  </r>
  <r>
    <x v="17"/>
    <n v="2000"/>
    <s v="Expense"/>
    <x v="7"/>
    <s v="Maria"/>
    <d v="2025-07-30T00:00:00"/>
    <m/>
  </r>
  <r>
    <x v="18"/>
    <n v="73.125"/>
    <s v="Expense"/>
    <x v="8"/>
    <s v="Luiz"/>
    <d v="2024-12-03T00:00:00"/>
    <s v="10/12"/>
  </r>
  <r>
    <x v="19"/>
    <n v="346.14"/>
    <s v="Expense"/>
    <x v="9"/>
    <s v="Luiz"/>
    <d v="2024-12-31T00:00:00"/>
    <s v="10/10"/>
  </r>
  <r>
    <x v="20"/>
    <n v="68.8"/>
    <s v="Expense"/>
    <x v="7"/>
    <s v="Luiz"/>
    <d v="2025-01-11T00:00:00"/>
    <s v="9/12"/>
  </r>
  <r>
    <x v="21"/>
    <n v="49.9"/>
    <s v="Expense"/>
    <x v="5"/>
    <s v="Luiz"/>
    <d v="2025-01-24T00:00:00"/>
    <s v="9/12"/>
  </r>
  <r>
    <x v="22"/>
    <n v="39.134999999999998"/>
    <s v="Expense"/>
    <x v="7"/>
    <s v="Luiz"/>
    <d v="2025-03-02T00:00:00"/>
    <s v="7/12"/>
  </r>
  <r>
    <x v="23"/>
    <n v="36.907499999999999"/>
    <s v="Expense"/>
    <x v="7"/>
    <s v="Maria"/>
    <d v="2025-03-18T00:00:00"/>
    <s v="8/12"/>
  </r>
  <r>
    <x v="24"/>
    <n v="133.25"/>
    <s v="Expense"/>
    <x v="7"/>
    <s v="Maria"/>
    <d v="2025-03-18T00:00:00"/>
    <s v="8/12"/>
  </r>
  <r>
    <x v="25"/>
    <n v="52.28875"/>
    <s v="Expense"/>
    <x v="0"/>
    <s v="Luiz"/>
    <d v="2025-04-06T00:00:00"/>
    <s v="7/8"/>
  </r>
  <r>
    <x v="26"/>
    <n v="52.06"/>
    <s v="Expense"/>
    <x v="7"/>
    <s v="Luiz"/>
    <d v="2025-05-03T00:00:00"/>
    <s v="6/8"/>
  </r>
  <r>
    <x v="27"/>
    <n v="39.699999999999996"/>
    <s v="Expense"/>
    <x v="6"/>
    <s v="Luiz"/>
    <d v="2025-05-03T00:00:00"/>
    <s v="6/6"/>
  </r>
  <r>
    <x v="28"/>
    <n v="53.569000000000003"/>
    <s v="Expense"/>
    <x v="10"/>
    <s v="Luiz"/>
    <d v="2025-05-22T00:00:00"/>
    <s v="6/10"/>
  </r>
  <r>
    <x v="29"/>
    <n v="31.995999999999999"/>
    <s v="Expense"/>
    <x v="7"/>
    <s v="Luiz"/>
    <d v="2025-06-03T00:00:00"/>
    <s v="5/5"/>
  </r>
  <r>
    <x v="30"/>
    <n v="133.64000000000001"/>
    <s v="Expense"/>
    <x v="11"/>
    <s v="Maria"/>
    <d v="2025-05-21T00:00:00"/>
    <s v="6/7"/>
  </r>
  <r>
    <x v="31"/>
    <n v="133.64000000000001"/>
    <s v="Expense"/>
    <x v="11"/>
    <s v="Maria"/>
    <d v="2025-06-02T00:00:00"/>
    <s v="5/7"/>
  </r>
  <r>
    <x v="32"/>
    <n v="77.12"/>
    <s v="Expense"/>
    <x v="6"/>
    <s v="Luiz"/>
    <d v="2025-06-08T00:00:00"/>
    <s v="5/10"/>
  </r>
  <r>
    <x v="33"/>
    <n v="138.91499999999999"/>
    <s v="Expense"/>
    <x v="11"/>
    <s v="Maria"/>
    <d v="2025-06-15T00:00:00"/>
    <s v="5/6"/>
  </r>
  <r>
    <x v="34"/>
    <n v="151.80333333333334"/>
    <s v="Expense"/>
    <x v="11"/>
    <s v="Maria"/>
    <d v="2025-06-15T00:00:00"/>
    <s v="5/6"/>
  </r>
  <r>
    <x v="35"/>
    <n v="11.417142857142858"/>
    <s v="Expense"/>
    <x v="12"/>
    <s v="Luiz"/>
    <d v="2025-06-16T00:00:00"/>
    <s v="5/7"/>
  </r>
  <r>
    <x v="36"/>
    <n v="22.349999999999998"/>
    <s v="Expense"/>
    <x v="0"/>
    <s v="Luiz"/>
    <d v="2025-06-23T00:00:00"/>
    <s v="5/12"/>
  </r>
  <r>
    <x v="37"/>
    <n v="54.256250000000001"/>
    <s v="Expense"/>
    <x v="12"/>
    <s v="Luiz"/>
    <d v="2025-06-23T00:00:00"/>
    <s v="5/8"/>
  </r>
  <r>
    <x v="38"/>
    <n v="27.803333333333331"/>
    <s v="Expense"/>
    <x v="10"/>
    <s v="Luiz"/>
    <d v="2025-06-23T00:00:00"/>
    <s v="5/6"/>
  </r>
  <r>
    <x v="39"/>
    <n v="55.875"/>
    <s v="Expense"/>
    <x v="7"/>
    <s v="Luiz"/>
    <d v="2025-06-24T00:00:00"/>
    <s v="5/8"/>
  </r>
  <r>
    <x v="32"/>
    <n v="36.313333333333333"/>
    <s v="Expense"/>
    <x v="12"/>
    <s v="Luiz"/>
    <d v="2025-06-24T00:00:00"/>
    <s v="5/6"/>
  </r>
  <r>
    <x v="40"/>
    <n v="68"/>
    <s v="Expense"/>
    <x v="7"/>
    <s v="Luiz"/>
    <d v="2025-06-24T00:00:00"/>
    <s v="5/6"/>
  </r>
  <r>
    <x v="41"/>
    <n v="50"/>
    <s v="Expense"/>
    <x v="6"/>
    <s v="Luiz"/>
    <d v="2025-06-26T00:00:00"/>
    <s v="5/10"/>
  </r>
  <r>
    <x v="42"/>
    <n v="30.66"/>
    <s v="Expense"/>
    <x v="6"/>
    <s v="Luiz"/>
    <d v="2025-07-06T00:00:00"/>
    <s v="4/4"/>
  </r>
  <r>
    <x v="43"/>
    <n v="89"/>
    <s v="Expense"/>
    <x v="5"/>
    <s v="Luiz"/>
    <d v="2025-07-14T00:00:00"/>
    <s v="4/12"/>
  </r>
  <r>
    <x v="44"/>
    <n v="136.0575"/>
    <s v="Expense"/>
    <x v="11"/>
    <s v="Maria"/>
    <d v="2025-07-15T00:00:00"/>
    <s v="4/12"/>
  </r>
  <r>
    <x v="45"/>
    <n v="32.497500000000002"/>
    <s v="Expense"/>
    <x v="7"/>
    <s v="Luiz"/>
    <d v="2025-07-14T00:00:00"/>
    <s v="4/4"/>
  </r>
  <r>
    <x v="46"/>
    <n v="81.563999999999993"/>
    <s v="Expense"/>
    <x v="12"/>
    <s v="Luiz"/>
    <d v="2025-07-16T00:00:00"/>
    <s v="4/10"/>
  </r>
  <r>
    <x v="47"/>
    <n v="42.616666666666667"/>
    <s v="Expense"/>
    <x v="12"/>
    <s v="Luiz"/>
    <d v="2025-07-16T00:00:00"/>
    <s v="4/6"/>
  </r>
  <r>
    <x v="48"/>
    <n v="30"/>
    <s v="Expense"/>
    <x v="12"/>
    <s v="Luiz"/>
    <d v="2025-07-16T00:00:00"/>
    <s v="4/10"/>
  </r>
  <r>
    <x v="49"/>
    <n v="411.48"/>
    <s v="Expense"/>
    <x v="13"/>
    <s v="Maria"/>
    <d v="2025-07-18T00:00:00"/>
    <s v="4/12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n v="272"/>
    <s v="Expense"/>
    <x v="0"/>
    <s v="Luiz"/>
    <s v="12/3/2024"/>
    <m/>
  </r>
  <r>
    <x v="1"/>
    <n v="400"/>
    <s v="Expense"/>
    <x v="1"/>
    <s v="Luiz"/>
    <s v="12/3/2024"/>
    <m/>
  </r>
  <r>
    <x v="2"/>
    <n v="289.89999999999998"/>
    <s v="Expense"/>
    <x v="0"/>
    <s v="Maria"/>
    <s v="12/5/2024"/>
    <m/>
  </r>
  <r>
    <x v="3"/>
    <n v="113.75"/>
    <s v="Expense"/>
    <x v="2"/>
    <s v="Luiz"/>
    <d v="2025-08-30T00:00:00"/>
    <m/>
  </r>
  <r>
    <x v="4"/>
    <n v="250"/>
    <s v="Expense"/>
    <x v="2"/>
    <s v="Luiz"/>
    <s v="12/13/2024"/>
    <m/>
  </r>
  <r>
    <x v="5"/>
    <n v="5000"/>
    <s v="Expense"/>
    <x v="3"/>
    <s v="Luiz"/>
    <s v="12/15/2024"/>
    <m/>
  </r>
  <r>
    <x v="6"/>
    <n v="5710.37"/>
    <s v="Income"/>
    <x v="4"/>
    <s v="Luiz"/>
    <s v="12/15/2024"/>
    <m/>
  </r>
  <r>
    <x v="7"/>
    <n v="60"/>
    <s v="Expense"/>
    <x v="1"/>
    <s v="Luiz"/>
    <s v="12/18/2024"/>
    <m/>
  </r>
  <r>
    <x v="8"/>
    <n v="100"/>
    <s v="Expense"/>
    <x v="1"/>
    <s v="Luiz"/>
    <s v="12/25/2024"/>
    <m/>
  </r>
  <r>
    <x v="9"/>
    <n v="49.9"/>
    <s v="Expense"/>
    <x v="5"/>
    <s v="Luiz"/>
    <s v="12/25/2024"/>
    <m/>
  </r>
  <r>
    <x v="10"/>
    <n v="16.899999999999999"/>
    <s v="Expense"/>
    <x v="5"/>
    <s v="Luiz"/>
    <s v="12/28/2024"/>
    <m/>
  </r>
  <r>
    <x v="11"/>
    <n v="857"/>
    <s v="Expense"/>
    <x v="2"/>
    <s v="Luiz"/>
    <s v="12/30/2024"/>
    <m/>
  </r>
  <r>
    <x v="12"/>
    <n v="113.7"/>
    <s v="Expense"/>
    <x v="2"/>
    <s v="Luiz"/>
    <s v="12/30/2024"/>
    <m/>
  </r>
  <r>
    <x v="13"/>
    <n v="100"/>
    <s v="Expense"/>
    <x v="2"/>
    <s v="Luiz"/>
    <s v="12/30/2024"/>
    <m/>
  </r>
  <r>
    <x v="14"/>
    <n v="4400"/>
    <s v="Income"/>
    <x v="4"/>
    <s v="Luiz"/>
    <s v="12/30/2024"/>
    <m/>
  </r>
  <r>
    <x v="15"/>
    <n v="16000"/>
    <s v="Income"/>
    <x v="4"/>
    <s v="Maria"/>
    <s v="12/30/2024"/>
    <m/>
  </r>
  <r>
    <x v="16"/>
    <n v="800"/>
    <s v="Expense"/>
    <x v="6"/>
    <s v="Luiz"/>
    <d v="2025-07-30T00:00:00"/>
    <m/>
  </r>
  <r>
    <x v="17"/>
    <n v="2000"/>
    <s v="Expense"/>
    <x v="7"/>
    <s v="Maria"/>
    <d v="2025-07-30T00:00:00"/>
    <m/>
  </r>
  <r>
    <x v="18"/>
    <n v="73.125"/>
    <s v="Expense"/>
    <x v="8"/>
    <s v="Luiz"/>
    <d v="2024-12-03T00:00:00"/>
    <s v="11/12"/>
  </r>
  <r>
    <x v="19"/>
    <n v="68.8"/>
    <s v="Expense"/>
    <x v="7"/>
    <s v="Luiz"/>
    <d v="2025-01-11T00:00:00"/>
    <s v="10/12"/>
  </r>
  <r>
    <x v="20"/>
    <n v="49.9"/>
    <s v="Expense"/>
    <x v="5"/>
    <s v="Luiz"/>
    <d v="2025-01-24T00:00:00"/>
    <s v="10/12"/>
  </r>
  <r>
    <x v="21"/>
    <n v="39.134999999999998"/>
    <s v="Expense"/>
    <x v="7"/>
    <s v="Luiz"/>
    <d v="2025-03-02T00:00:00"/>
    <s v="8/12"/>
  </r>
  <r>
    <x v="22"/>
    <n v="36.907499999999999"/>
    <s v="Expense"/>
    <x v="7"/>
    <s v="Maria"/>
    <d v="2025-03-18T00:00:00"/>
    <s v="9/12"/>
  </r>
  <r>
    <x v="23"/>
    <n v="133.25"/>
    <s v="Expense"/>
    <x v="7"/>
    <s v="Maria"/>
    <d v="2025-03-18T00:00:00"/>
    <s v="9/12"/>
  </r>
  <r>
    <x v="24"/>
    <n v="52.28875"/>
    <s v="Expense"/>
    <x v="0"/>
    <s v="Luiz"/>
    <d v="2025-04-06T00:00:00"/>
    <s v="8/8"/>
  </r>
  <r>
    <x v="25"/>
    <n v="52.06"/>
    <s v="Expense"/>
    <x v="7"/>
    <s v="Luiz"/>
    <d v="2025-05-03T00:00:00"/>
    <s v="7/8"/>
  </r>
  <r>
    <x v="26"/>
    <n v="53.569000000000003"/>
    <s v="Expense"/>
    <x v="9"/>
    <s v="Luiz"/>
    <d v="2025-05-22T00:00:00"/>
    <s v="7/10"/>
  </r>
  <r>
    <x v="27"/>
    <n v="133.64000000000001"/>
    <s v="Expense"/>
    <x v="10"/>
    <s v="Maria"/>
    <d v="2025-05-21T00:00:00"/>
    <s v="7/7"/>
  </r>
  <r>
    <x v="28"/>
    <n v="133.64000000000001"/>
    <s v="Expense"/>
    <x v="10"/>
    <s v="Maria"/>
    <d v="2025-06-02T00:00:00"/>
    <s v="6/7"/>
  </r>
  <r>
    <x v="29"/>
    <n v="77.12"/>
    <s v="Expense"/>
    <x v="6"/>
    <s v="Luiz"/>
    <d v="2025-06-08T00:00:00"/>
    <s v="6/10"/>
  </r>
  <r>
    <x v="30"/>
    <n v="138.91499999999999"/>
    <s v="Expense"/>
    <x v="10"/>
    <s v="Maria"/>
    <d v="2025-06-15T00:00:00"/>
    <s v="6/6"/>
  </r>
  <r>
    <x v="31"/>
    <n v="151.80333333333334"/>
    <s v="Expense"/>
    <x v="10"/>
    <s v="Maria"/>
    <d v="2025-06-15T00:00:00"/>
    <s v="6/6"/>
  </r>
  <r>
    <x v="32"/>
    <n v="11.417142857142858"/>
    <s v="Expense"/>
    <x v="11"/>
    <s v="Luiz"/>
    <d v="2025-06-16T00:00:00"/>
    <s v="6/7"/>
  </r>
  <r>
    <x v="33"/>
    <n v="22.349999999999998"/>
    <s v="Expense"/>
    <x v="0"/>
    <s v="Luiz"/>
    <d v="2025-06-23T00:00:00"/>
    <s v="6/12"/>
  </r>
  <r>
    <x v="34"/>
    <n v="54.256250000000001"/>
    <s v="Expense"/>
    <x v="11"/>
    <s v="Luiz"/>
    <d v="2025-06-23T00:00:00"/>
    <s v="6/8"/>
  </r>
  <r>
    <x v="35"/>
    <n v="27.803333333333331"/>
    <s v="Expense"/>
    <x v="9"/>
    <s v="Luiz"/>
    <d v="2025-06-23T00:00:00"/>
    <s v="6/6"/>
  </r>
  <r>
    <x v="36"/>
    <n v="55.875"/>
    <s v="Expense"/>
    <x v="7"/>
    <s v="Luiz"/>
    <d v="2025-06-24T00:00:00"/>
    <s v="6/8"/>
  </r>
  <r>
    <x v="29"/>
    <n v="36.313333333333333"/>
    <s v="Expense"/>
    <x v="11"/>
    <s v="Luiz"/>
    <d v="2025-06-24T00:00:00"/>
    <s v="6/6"/>
  </r>
  <r>
    <x v="37"/>
    <n v="68"/>
    <s v="Expense"/>
    <x v="7"/>
    <s v="Luiz"/>
    <d v="2025-06-24T00:00:00"/>
    <s v="6/6"/>
  </r>
  <r>
    <x v="38"/>
    <n v="50"/>
    <s v="Expense"/>
    <x v="6"/>
    <s v="Luiz"/>
    <d v="2025-06-26T00:00:00"/>
    <s v="6/10"/>
  </r>
  <r>
    <x v="39"/>
    <n v="89"/>
    <s v="Expense"/>
    <x v="5"/>
    <s v="Luiz"/>
    <d v="2025-07-14T00:00:00"/>
    <s v="5/12"/>
  </r>
  <r>
    <x v="40"/>
    <n v="136.0575"/>
    <s v="Expense"/>
    <x v="10"/>
    <s v="Maria"/>
    <d v="2025-07-15T00:00:00"/>
    <s v="5/12"/>
  </r>
  <r>
    <x v="41"/>
    <n v="81.563999999999993"/>
    <s v="Expense"/>
    <x v="11"/>
    <s v="Luiz"/>
    <d v="2025-07-16T00:00:00"/>
    <s v="5/10"/>
  </r>
  <r>
    <x v="42"/>
    <n v="42.616666666666667"/>
    <s v="Expense"/>
    <x v="11"/>
    <s v="Luiz"/>
    <d v="2025-07-16T00:00:00"/>
    <s v="5/6"/>
  </r>
  <r>
    <x v="43"/>
    <n v="30"/>
    <s v="Expense"/>
    <x v="11"/>
    <s v="Luiz"/>
    <d v="2025-07-16T00:00:00"/>
    <s v="5/10"/>
  </r>
  <r>
    <x v="44"/>
    <n v="411.48"/>
    <s v="Expense"/>
    <x v="12"/>
    <s v="Maria"/>
    <d v="2025-07-18T00:00:00"/>
    <s v="5/12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n v="272"/>
    <s v="Expense"/>
    <x v="0"/>
    <s v="Luiz"/>
    <s v="12/3/2024"/>
    <m/>
  </r>
  <r>
    <x v="1"/>
    <n v="400"/>
    <s v="Expense"/>
    <x v="1"/>
    <s v="Luiz"/>
    <s v="12/3/2024"/>
    <m/>
  </r>
  <r>
    <x v="2"/>
    <n v="289.89999999999998"/>
    <s v="Expense"/>
    <x v="0"/>
    <s v="Maria"/>
    <s v="12/5/2024"/>
    <m/>
  </r>
  <r>
    <x v="3"/>
    <n v="113.75"/>
    <s v="Expense"/>
    <x v="2"/>
    <s v="Luiz"/>
    <d v="2025-08-30T00:00:00"/>
    <m/>
  </r>
  <r>
    <x v="4"/>
    <n v="250"/>
    <s v="Expense"/>
    <x v="2"/>
    <s v="Luiz"/>
    <s v="12/13/2024"/>
    <m/>
  </r>
  <r>
    <x v="5"/>
    <n v="5000"/>
    <s v="Expense"/>
    <x v="3"/>
    <s v="Luiz"/>
    <s v="12/15/2024"/>
    <m/>
  </r>
  <r>
    <x v="6"/>
    <n v="5710.37"/>
    <s v="Income"/>
    <x v="4"/>
    <s v="Luiz"/>
    <s v="12/15/2024"/>
    <m/>
  </r>
  <r>
    <x v="7"/>
    <n v="60"/>
    <s v="Expense"/>
    <x v="1"/>
    <s v="Luiz"/>
    <s v="12/18/2024"/>
    <m/>
  </r>
  <r>
    <x v="8"/>
    <n v="100"/>
    <s v="Expense"/>
    <x v="1"/>
    <s v="Luiz"/>
    <s v="12/25/2024"/>
    <m/>
  </r>
  <r>
    <x v="9"/>
    <n v="49.9"/>
    <s v="Expense"/>
    <x v="5"/>
    <s v="Luiz"/>
    <s v="12/25/2024"/>
    <m/>
  </r>
  <r>
    <x v="10"/>
    <n v="16.899999999999999"/>
    <s v="Expense"/>
    <x v="5"/>
    <s v="Luiz"/>
    <s v="12/28/2024"/>
    <m/>
  </r>
  <r>
    <x v="11"/>
    <n v="857"/>
    <s v="Expense"/>
    <x v="2"/>
    <s v="Luiz"/>
    <s v="12/30/2024"/>
    <m/>
  </r>
  <r>
    <x v="12"/>
    <n v="113.7"/>
    <s v="Expense"/>
    <x v="2"/>
    <s v="Luiz"/>
    <s v="12/30/2024"/>
    <m/>
  </r>
  <r>
    <x v="13"/>
    <n v="50"/>
    <s v="Expense"/>
    <x v="2"/>
    <s v="Luiz"/>
    <s v="12/30/2024"/>
    <m/>
  </r>
  <r>
    <x v="14"/>
    <n v="4400"/>
    <s v="Income"/>
    <x v="4"/>
    <s v="Luiz"/>
    <s v="12/30/2024"/>
    <m/>
  </r>
  <r>
    <x v="15"/>
    <n v="16000"/>
    <s v="Income"/>
    <x v="4"/>
    <s v="Maria"/>
    <s v="12/30/2024"/>
    <m/>
  </r>
  <r>
    <x v="16"/>
    <n v="800"/>
    <s v="Expense"/>
    <x v="6"/>
    <s v="Luiz"/>
    <d v="2025-07-30T00:00:00"/>
    <m/>
  </r>
  <r>
    <x v="17"/>
    <n v="2000"/>
    <s v="Expense"/>
    <x v="7"/>
    <s v="Maria"/>
    <d v="2025-07-30T00:00:00"/>
    <m/>
  </r>
  <r>
    <x v="18"/>
    <n v="73.125"/>
    <s v="Expense"/>
    <x v="8"/>
    <s v="Luiz"/>
    <d v="2024-12-03T00:00:00"/>
    <s v="12/12"/>
  </r>
  <r>
    <x v="19"/>
    <n v="68.8"/>
    <s v="Expense"/>
    <x v="7"/>
    <s v="Luiz"/>
    <d v="2025-01-11T00:00:00"/>
    <s v="11/12"/>
  </r>
  <r>
    <x v="20"/>
    <n v="49.9"/>
    <s v="Expense"/>
    <x v="5"/>
    <s v="Luiz"/>
    <d v="2025-01-24T00:00:00"/>
    <s v="11/12"/>
  </r>
  <r>
    <x v="21"/>
    <n v="39.134999999999998"/>
    <s v="Expense"/>
    <x v="7"/>
    <s v="Luiz"/>
    <d v="2025-03-02T00:00:00"/>
    <s v="9/12"/>
  </r>
  <r>
    <x v="22"/>
    <n v="36.907499999999999"/>
    <s v="Expense"/>
    <x v="7"/>
    <s v="Maria"/>
    <d v="2025-03-18T00:00:00"/>
    <s v="10/12"/>
  </r>
  <r>
    <x v="23"/>
    <n v="133.25"/>
    <s v="Expense"/>
    <x v="7"/>
    <s v="Maria"/>
    <d v="2025-03-18T00:00:00"/>
    <s v="10/12"/>
  </r>
  <r>
    <x v="24"/>
    <n v="52.06"/>
    <s v="Expense"/>
    <x v="7"/>
    <s v="Luiz"/>
    <d v="2025-05-03T00:00:00"/>
    <s v="8/8"/>
  </r>
  <r>
    <x v="25"/>
    <n v="53.569000000000003"/>
    <s v="Expense"/>
    <x v="9"/>
    <s v="Luiz"/>
    <d v="2025-05-22T00:00:00"/>
    <s v="8/10"/>
  </r>
  <r>
    <x v="26"/>
    <n v="133.64000000000001"/>
    <s v="Expense"/>
    <x v="10"/>
    <s v="Maria"/>
    <d v="2025-06-02T00:00:00"/>
    <s v="7/7"/>
  </r>
  <r>
    <x v="27"/>
    <n v="77.12"/>
    <s v="Expense"/>
    <x v="6"/>
    <s v="Luiz"/>
    <d v="2025-06-08T00:00:00"/>
    <s v="7/10"/>
  </r>
  <r>
    <x v="28"/>
    <n v="11.417142857142858"/>
    <s v="Expense"/>
    <x v="11"/>
    <s v="Luiz"/>
    <d v="2025-06-16T00:00:00"/>
    <s v="7/7"/>
  </r>
  <r>
    <x v="29"/>
    <n v="22.349999999999998"/>
    <s v="Expense"/>
    <x v="0"/>
    <s v="Luiz"/>
    <d v="2025-06-23T00:00:00"/>
    <s v="7/12"/>
  </r>
  <r>
    <x v="30"/>
    <n v="54.256250000000001"/>
    <s v="Expense"/>
    <x v="11"/>
    <s v="Luiz"/>
    <d v="2025-06-23T00:00:00"/>
    <s v="7/8"/>
  </r>
  <r>
    <x v="31"/>
    <n v="55.875"/>
    <s v="Expense"/>
    <x v="7"/>
    <s v="Luiz"/>
    <d v="2025-06-24T00:00:00"/>
    <s v="7/8"/>
  </r>
  <r>
    <x v="32"/>
    <n v="50"/>
    <s v="Expense"/>
    <x v="6"/>
    <s v="Luiz"/>
    <d v="2025-06-26T00:00:00"/>
    <s v="7/10"/>
  </r>
  <r>
    <x v="33"/>
    <n v="89"/>
    <s v="Expense"/>
    <x v="5"/>
    <s v="Luiz"/>
    <d v="2025-07-14T00:00:00"/>
    <s v="6/12"/>
  </r>
  <r>
    <x v="34"/>
    <n v="136.0575"/>
    <s v="Expense"/>
    <x v="10"/>
    <s v="Maria"/>
    <d v="2025-07-15T00:00:00"/>
    <s v="6/12"/>
  </r>
  <r>
    <x v="35"/>
    <n v="81.563999999999993"/>
    <s v="Expense"/>
    <x v="11"/>
    <s v="Luiz"/>
    <d v="2025-07-16T00:00:00"/>
    <s v="6/10"/>
  </r>
  <r>
    <x v="36"/>
    <n v="42.616666666666667"/>
    <s v="Expense"/>
    <x v="11"/>
    <s v="Luiz"/>
    <d v="2025-07-16T00:00:00"/>
    <s v="6/6"/>
  </r>
  <r>
    <x v="37"/>
    <n v="30"/>
    <s v="Expense"/>
    <x v="11"/>
    <s v="Luiz"/>
    <d v="2025-07-16T00:00:00"/>
    <s v="6/10"/>
  </r>
  <r>
    <x v="38"/>
    <n v="411.48"/>
    <s v="Expense"/>
    <x v="12"/>
    <s v="Maria"/>
    <d v="2025-07-18T00:00:00"/>
    <s v="6/12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1">
  <r>
    <x v="0"/>
    <n v="119"/>
    <s v="Expense"/>
    <x v="0"/>
    <s v="Luiz"/>
    <d v="2025-07-03T00:00:00"/>
    <m/>
  </r>
  <r>
    <x v="1"/>
    <n v="400"/>
    <s v="Expense"/>
    <x v="1"/>
    <s v="Luiz"/>
    <d v="2025-07-03T00:00:00"/>
    <m/>
  </r>
  <r>
    <x v="2"/>
    <n v="289.89999999999998"/>
    <s v="Expense"/>
    <x v="0"/>
    <s v="Maria"/>
    <d v="2025-07-05T00:00:00"/>
    <m/>
  </r>
  <r>
    <x v="3"/>
    <n v="0"/>
    <s v="Expense"/>
    <x v="2"/>
    <s v="Luiz"/>
    <d v="2025-07-12T00:00:00"/>
    <m/>
  </r>
  <r>
    <x v="4"/>
    <n v="5000"/>
    <s v="Expense"/>
    <x v="3"/>
    <s v="Luiz"/>
    <d v="2025-07-15T00:00:00"/>
    <m/>
  </r>
  <r>
    <x v="5"/>
    <n v="5710.37"/>
    <s v="Income"/>
    <x v="4"/>
    <s v="Luiz"/>
    <d v="2025-07-15T00:00:00"/>
    <m/>
  </r>
  <r>
    <x v="6"/>
    <n v="113.75"/>
    <s v="Expense"/>
    <x v="2"/>
    <s v="Luiz"/>
    <d v="2025-07-16T00:00:00"/>
    <m/>
  </r>
  <r>
    <x v="7"/>
    <n v="60"/>
    <s v="Expense"/>
    <x v="1"/>
    <s v="Luiz"/>
    <d v="2025-07-18T00:00:00"/>
    <m/>
  </r>
  <r>
    <x v="8"/>
    <n v="100"/>
    <s v="Expense"/>
    <x v="1"/>
    <s v="Luiz"/>
    <d v="2025-07-25T00:00:00"/>
    <m/>
  </r>
  <r>
    <x v="9"/>
    <n v="49.9"/>
    <s v="Expense"/>
    <x v="5"/>
    <s v="Luiz"/>
    <d v="2025-07-25T00:00:00"/>
    <m/>
  </r>
  <r>
    <x v="10"/>
    <n v="16.899999999999999"/>
    <s v="Expense"/>
    <x v="5"/>
    <s v="Luiz"/>
    <d v="2025-07-28T00:00:00"/>
    <m/>
  </r>
  <r>
    <x v="11"/>
    <n v="113.7"/>
    <s v="Expense"/>
    <x v="2"/>
    <s v="Luiz"/>
    <d v="2025-07-30T00:00:00"/>
    <m/>
  </r>
  <r>
    <x v="12"/>
    <n v="119.12"/>
    <s v="Expense"/>
    <x v="2"/>
    <s v="Luiz"/>
    <d v="2025-07-30T00:00:00"/>
    <m/>
  </r>
  <r>
    <x v="13"/>
    <n v="394.7"/>
    <s v="Expense"/>
    <x v="2"/>
    <s v="Luiz"/>
    <d v="2025-07-30T00:00:00"/>
    <m/>
  </r>
  <r>
    <x v="14"/>
    <n v="4519.42"/>
    <s v="Income"/>
    <x v="4"/>
    <s v="Luiz"/>
    <d v="2025-07-30T00:00:00"/>
    <m/>
  </r>
  <r>
    <x v="15"/>
    <n v="16000"/>
    <s v="Income"/>
    <x v="4"/>
    <s v="Maria"/>
    <d v="2025-07-30T00:00:00"/>
    <m/>
  </r>
  <r>
    <x v="16"/>
    <n v="800"/>
    <s v="Expense"/>
    <x v="6"/>
    <s v="Luiz"/>
    <d v="2025-07-30T00:00:00"/>
    <m/>
  </r>
  <r>
    <x v="17"/>
    <n v="2000"/>
    <s v="Expense"/>
    <x v="7"/>
    <s v="Maria"/>
    <d v="2025-07-30T00:00:00"/>
    <m/>
  </r>
  <r>
    <x v="18"/>
    <n v="73.125"/>
    <s v="Expense"/>
    <x v="8"/>
    <s v="Luiz"/>
    <d v="2024-12-03T00:00:00"/>
    <s v="7/12"/>
  </r>
  <r>
    <x v="19"/>
    <n v="346.14"/>
    <s v="Expense"/>
    <x v="9"/>
    <s v="Luiz"/>
    <d v="2024-12-31T00:00:00"/>
    <s v="7/10"/>
  </r>
  <r>
    <x v="20"/>
    <n v="33.36"/>
    <s v="Expense"/>
    <x v="10"/>
    <s v="Luiz"/>
    <d v="2024-12-13T00:00:00"/>
    <s v="7/8"/>
  </r>
  <r>
    <x v="21"/>
    <n v="68.8"/>
    <s v="Expense"/>
    <x v="7"/>
    <s v="Luiz"/>
    <d v="2025-01-11T00:00:00"/>
    <s v="6/12"/>
  </r>
  <r>
    <x v="22"/>
    <n v="49.9"/>
    <s v="Expense"/>
    <x v="5"/>
    <s v="Luiz"/>
    <d v="2025-01-24T00:00:00"/>
    <s v="6/12"/>
  </r>
  <r>
    <x v="23"/>
    <n v="42.66"/>
    <s v="Expense"/>
    <x v="10"/>
    <s v="Luiz"/>
    <d v="2025-02-10T00:00:00"/>
    <s v="6/6"/>
  </r>
  <r>
    <x v="24"/>
    <n v="33.166666666666664"/>
    <s v="Expense"/>
    <x v="6"/>
    <s v="Luiz"/>
    <d v="2025-02-13T00:00:00"/>
    <s v="6/6"/>
  </r>
  <r>
    <x v="25"/>
    <n v="116.33"/>
    <s v="Expense"/>
    <x v="10"/>
    <s v="Luiz"/>
    <d v="2025-02-22T00:00:00"/>
    <s v="6/6"/>
  </r>
  <r>
    <x v="26"/>
    <n v="39.134999999999998"/>
    <s v="Expense"/>
    <x v="7"/>
    <s v="Luiz"/>
    <d v="2025-03-02T00:00:00"/>
    <s v="5/12"/>
  </r>
  <r>
    <x v="27"/>
    <n v="57.179999999999993"/>
    <s v="Expense"/>
    <x v="7"/>
    <s v="Luiz"/>
    <d v="2025-03-03T00:00:00"/>
    <s v="5/5"/>
  </r>
  <r>
    <x v="28"/>
    <n v="27.408333333333331"/>
    <s v="Expense"/>
    <x v="10"/>
    <s v="Luiz"/>
    <d v="2025-03-15T00:00:00"/>
    <s v="5/6"/>
  </r>
  <r>
    <x v="29"/>
    <n v="27.406666666666666"/>
    <s v="Expense"/>
    <x v="11"/>
    <s v="Luiz"/>
    <d v="2025-03-15T00:00:00"/>
    <s v="5/6"/>
  </r>
  <r>
    <x v="30"/>
    <n v="36.907499999999999"/>
    <s v="Expense"/>
    <x v="7"/>
    <s v="Maria"/>
    <d v="2025-03-18T00:00:00"/>
    <s v="5/12"/>
  </r>
  <r>
    <x v="31"/>
    <n v="133.25"/>
    <s v="Expense"/>
    <x v="7"/>
    <s v="Maria"/>
    <d v="2025-03-18T00:00:00"/>
    <s v="5/12"/>
  </r>
  <r>
    <x v="32"/>
    <n v="54.991666666666667"/>
    <s v="Expense"/>
    <x v="10"/>
    <s v="Luiz"/>
    <d v="2025-03-26T00:00:00"/>
    <s v="5/6"/>
  </r>
  <r>
    <x v="33"/>
    <n v="52.28875"/>
    <s v="Expense"/>
    <x v="0"/>
    <s v="Luiz"/>
    <d v="2025-04-06T00:00:00"/>
    <s v="4/8"/>
  </r>
  <r>
    <x v="34"/>
    <n v="123.5"/>
    <s v="Expense"/>
    <x v="10"/>
    <s v="Luiz"/>
    <d v="2025-04-24T00:00:00"/>
    <s v="4/6"/>
  </r>
  <r>
    <x v="35"/>
    <n v="50.949999999999996"/>
    <s v="Expense"/>
    <x v="11"/>
    <s v="Luiz"/>
    <d v="2025-04-28T00:00:00"/>
    <s v="4/6"/>
  </r>
  <r>
    <x v="36"/>
    <n v="90.24666666666667"/>
    <s v="Expense"/>
    <x v="11"/>
    <s v="Luiz"/>
    <d v="2025-05-01T00:00:00"/>
    <s v="3/3"/>
  </r>
  <r>
    <x v="37"/>
    <n v="52.06"/>
    <s v="Expense"/>
    <x v="7"/>
    <s v="Luiz"/>
    <d v="2025-05-03T00:00:00"/>
    <s v="3/8"/>
  </r>
  <r>
    <x v="38"/>
    <n v="39.699999999999996"/>
    <s v="Expense"/>
    <x v="6"/>
    <s v="Luiz"/>
    <d v="2025-05-03T00:00:00"/>
    <s v="3/6"/>
  </r>
  <r>
    <x v="39"/>
    <n v="122.45"/>
    <s v="Expense"/>
    <x v="10"/>
    <s v="Maria"/>
    <d v="2025-05-12T00:00:00"/>
    <s v="3/4"/>
  </r>
  <r>
    <x v="40"/>
    <n v="245.4"/>
    <s v="Expense"/>
    <x v="11"/>
    <s v="Luiz"/>
    <d v="2025-05-19T00:00:00"/>
    <s v="3/3"/>
  </r>
  <r>
    <x v="41"/>
    <n v="142.34"/>
    <s v="Expense"/>
    <x v="11"/>
    <s v="Maria"/>
    <d v="2025-05-20T00:00:00"/>
    <s v="3/3"/>
  </r>
  <r>
    <x v="42"/>
    <n v="133.64000000000001"/>
    <s v="Expense"/>
    <x v="12"/>
    <s v="Maria"/>
    <d v="2025-05-21T00:00:00"/>
    <s v="3/7"/>
  </r>
  <r>
    <x v="43"/>
    <n v="53.569000000000003"/>
    <s v="Expense"/>
    <x v="11"/>
    <s v="Luiz"/>
    <d v="2025-05-22T00:00:00"/>
    <s v="3/10"/>
  </r>
  <r>
    <x v="44"/>
    <n v="68.393333333333331"/>
    <s v="Expense"/>
    <x v="11"/>
    <s v="Luiz"/>
    <d v="2025-05-24T00:00:00"/>
    <s v="3/3"/>
  </r>
  <r>
    <x v="45"/>
    <n v="81.599999999999994"/>
    <s v="Expense"/>
    <x v="10"/>
    <s v="Luiz"/>
    <d v="2025-05-28T00:00:00"/>
    <s v="3/5"/>
  </r>
  <r>
    <x v="46"/>
    <n v="39.012500000000003"/>
    <s v="Expense"/>
    <x v="7"/>
    <s v="Luiz"/>
    <d v="2025-05-28T00:00:00"/>
    <s v="3/4"/>
  </r>
  <r>
    <x v="47"/>
    <n v="47.5"/>
    <s v="Expense"/>
    <x v="7"/>
    <s v="Luiz"/>
    <d v="2025-06-02T00:00:00"/>
    <s v="2/2"/>
  </r>
  <r>
    <x v="48"/>
    <n v="31.995999999999999"/>
    <s v="Expense"/>
    <x v="7"/>
    <s v="Luiz"/>
    <d v="2025-06-03T00:00:00"/>
    <s v="2/5"/>
  </r>
  <r>
    <x v="49"/>
    <n v="133.64000000000001"/>
    <s v="Expense"/>
    <x v="12"/>
    <s v="Maria"/>
    <d v="2025-06-02T00:00:00"/>
    <s v="2/7"/>
  </r>
  <r>
    <x v="50"/>
    <n v="54.46"/>
    <s v="Expense"/>
    <x v="11"/>
    <s v="Maria"/>
    <d v="2025-06-02T00:00:00"/>
    <s v="2/3"/>
  </r>
  <r>
    <x v="51"/>
    <n v="51.963333333333331"/>
    <s v="Expense"/>
    <x v="10"/>
    <s v="Maria"/>
    <d v="2025-06-08T00:00:00"/>
    <s v="2/3"/>
  </r>
  <r>
    <x v="52"/>
    <n v="26.333333333333332"/>
    <s v="Expense"/>
    <x v="10"/>
    <s v="Luiz"/>
    <d v="2025-06-06T00:00:00"/>
    <s v="2/3"/>
  </r>
  <r>
    <x v="53"/>
    <n v="23.495000000000001"/>
    <s v="Expense"/>
    <x v="7"/>
    <s v="Luiz"/>
    <d v="2025-06-07T00:00:00"/>
    <s v="2/2"/>
  </r>
  <r>
    <x v="54"/>
    <n v="77.12"/>
    <s v="Expense"/>
    <x v="6"/>
    <s v="Luiz"/>
    <d v="2025-06-08T00:00:00"/>
    <s v="2/10"/>
  </r>
  <r>
    <x v="55"/>
    <n v="110.99666666666667"/>
    <s v="Expense"/>
    <x v="12"/>
    <s v="Luiz"/>
    <d v="2025-06-07T00:00:00"/>
    <s v="2/3"/>
  </r>
  <r>
    <x v="55"/>
    <n v="37.013333333333335"/>
    <s v="Expense"/>
    <x v="12"/>
    <s v="Luiz"/>
    <d v="2025-06-07T00:00:00"/>
    <s v="2/3"/>
  </r>
  <r>
    <x v="56"/>
    <n v="138.91499999999999"/>
    <s v="Expense"/>
    <x v="12"/>
    <s v="Maria"/>
    <d v="2025-06-15T00:00:00"/>
    <s v="2/6"/>
  </r>
  <r>
    <x v="57"/>
    <n v="151.80333333333334"/>
    <s v="Expense"/>
    <x v="12"/>
    <s v="Maria"/>
    <d v="2025-06-15T00:00:00"/>
    <s v="2/6"/>
  </r>
  <r>
    <x v="58"/>
    <n v="84.286666666666676"/>
    <s v="Expense"/>
    <x v="7"/>
    <s v="Luiz"/>
    <d v="2025-06-15T00:00:00"/>
    <s v="2/3"/>
  </r>
  <r>
    <x v="59"/>
    <n v="11.417142857142858"/>
    <s v="Expense"/>
    <x v="10"/>
    <s v="Luiz"/>
    <d v="2025-06-16T00:00:00"/>
    <s v="2/7"/>
  </r>
  <r>
    <x v="60"/>
    <n v="68.373333333333335"/>
    <s v="Expense"/>
    <x v="12"/>
    <s v="Luiz"/>
    <d v="2025-06-17T00:00:00"/>
    <s v="2/3"/>
  </r>
  <r>
    <x v="61"/>
    <n v="20.663333333333334"/>
    <s v="Expense"/>
    <x v="7"/>
    <s v="Luiz"/>
    <d v="2025-06-19T00:00:00"/>
    <s v="2/3"/>
  </r>
  <r>
    <x v="62"/>
    <n v="22.349999999999998"/>
    <s v="Expense"/>
    <x v="0"/>
    <s v="Luiz"/>
    <d v="2025-06-23T00:00:00"/>
    <s v="2/12"/>
  </r>
  <r>
    <x v="63"/>
    <n v="54.256250000000001"/>
    <s v="Expense"/>
    <x v="10"/>
    <s v="Luiz"/>
    <d v="2025-06-23T00:00:00"/>
    <s v="2/8"/>
  </r>
  <r>
    <x v="64"/>
    <n v="27.803333333333331"/>
    <s v="Expense"/>
    <x v="11"/>
    <s v="Luiz"/>
    <d v="2025-06-23T00:00:00"/>
    <s v="2/6"/>
  </r>
  <r>
    <x v="65"/>
    <n v="39.123333333333335"/>
    <s v="Expense"/>
    <x v="12"/>
    <s v="Luiz"/>
    <d v="2025-06-23T00:00:00"/>
    <s v="2/3"/>
  </r>
  <r>
    <x v="66"/>
    <n v="222.29999999999998"/>
    <s v="Expense"/>
    <x v="7"/>
    <s v="Luiz"/>
    <d v="2025-06-24T00:00:00"/>
    <s v="2/3"/>
  </r>
  <r>
    <x v="67"/>
    <n v="55.875"/>
    <s v="Expense"/>
    <x v="7"/>
    <s v="Luiz"/>
    <d v="2025-06-24T00:00:00"/>
    <s v="2/8"/>
  </r>
  <r>
    <x v="54"/>
    <n v="36.313333333333333"/>
    <s v="Expense"/>
    <x v="10"/>
    <s v="Luiz"/>
    <d v="2025-06-24T00:00:00"/>
    <s v="2/6"/>
  </r>
  <r>
    <x v="68"/>
    <n v="68"/>
    <s v="Expense"/>
    <x v="7"/>
    <s v="Luiz"/>
    <d v="2025-06-24T00:00:00"/>
    <s v="2/6"/>
  </r>
  <r>
    <x v="69"/>
    <n v="185.11"/>
    <s v="Expense"/>
    <x v="12"/>
    <s v="Luiz"/>
    <d v="2025-06-25T00:00:00"/>
    <s v="2/2"/>
  </r>
  <r>
    <x v="69"/>
    <n v="216.50333333333333"/>
    <s v="Expense"/>
    <x v="12"/>
    <s v="Luiz"/>
    <d v="2025-06-25T00:00:00"/>
    <s v="2/3"/>
  </r>
  <r>
    <x v="70"/>
    <n v="50"/>
    <s v="Expense"/>
    <x v="6"/>
    <s v="Luiz"/>
    <d v="2025-06-26T00:00:00"/>
    <s v="2/10"/>
  </r>
  <r>
    <x v="71"/>
    <n v="195"/>
    <s v="Expense"/>
    <x v="6"/>
    <s v="Luiz"/>
    <d v="2025-06-27T00:00:00"/>
    <s v="2/2"/>
  </r>
  <r>
    <x v="72"/>
    <n v="24"/>
    <s v="Expense"/>
    <x v="8"/>
    <s v="Luiz"/>
    <d v="2025-06-29T00:00:00"/>
    <s v="1/1"/>
  </r>
  <r>
    <x v="73"/>
    <n v="24.99"/>
    <s v="Expense"/>
    <x v="13"/>
    <s v="Luiz"/>
    <d v="2025-06-29T00:00:00"/>
    <s v="1/1"/>
  </r>
  <r>
    <x v="74"/>
    <n v="84.99"/>
    <s v="Expense"/>
    <x v="10"/>
    <s v="Luiz"/>
    <d v="2025-06-29T00:00:00"/>
    <s v="1/1"/>
  </r>
  <r>
    <x v="74"/>
    <n v="98.99"/>
    <s v="Expense"/>
    <x v="10"/>
    <s v="Luiz"/>
    <d v="2025-06-29T00:00:00"/>
    <s v="1/1"/>
  </r>
  <r>
    <x v="75"/>
    <n v="70"/>
    <s v="Expense"/>
    <x v="9"/>
    <s v="Luiz"/>
    <d v="2025-06-30T00:00:00"/>
    <s v="1/1"/>
  </r>
  <r>
    <x v="76"/>
    <n v="16.09"/>
    <s v="Expense"/>
    <x v="7"/>
    <s v="Luiz"/>
    <d v="2025-07-01T00:00:00"/>
    <s v="1/1"/>
  </r>
  <r>
    <x v="77"/>
    <n v="66.900000000000006"/>
    <s v="Expense"/>
    <x v="13"/>
    <s v="Luiz"/>
    <d v="2025-07-01T00:00:00"/>
    <s v="1/1"/>
  </r>
  <r>
    <x v="54"/>
    <n v="49.44"/>
    <s v="Expense"/>
    <x v="10"/>
    <s v="Luiz"/>
    <d v="2025-07-01T00:00:00"/>
    <s v="1/1"/>
  </r>
  <r>
    <x v="74"/>
    <n v="79.8"/>
    <s v="Expense"/>
    <x v="10"/>
    <s v="Luiz"/>
    <d v="2025-07-01T00:00:00"/>
    <s v="1/1"/>
  </r>
  <r>
    <x v="78"/>
    <n v="15"/>
    <s v="Expense"/>
    <x v="7"/>
    <s v="Luiz"/>
    <d v="2025-07-02T00:00:00"/>
    <s v="1/1"/>
  </r>
  <r>
    <x v="79"/>
    <n v="60"/>
    <s v="Expense"/>
    <x v="11"/>
    <s v="Maria"/>
    <d v="2025-07-02T00:00:00"/>
    <s v="1/1"/>
  </r>
  <r>
    <x v="80"/>
    <n v="20.27"/>
    <s v="Expense"/>
    <x v="14"/>
    <s v="Luiz"/>
    <d v="2025-07-03T00:00:00"/>
    <s v="1/1"/>
  </r>
  <r>
    <x v="81"/>
    <n v="55.68"/>
    <s v="Expense"/>
    <x v="8"/>
    <s v="Maria"/>
    <d v="2025-07-03T00:00:00"/>
    <s v="1/3"/>
  </r>
  <r>
    <x v="80"/>
    <n v="21.39"/>
    <s v="Expense"/>
    <x v="14"/>
    <s v="Luiz"/>
    <d v="2025-07-04T00:00:00"/>
    <s v="1/1"/>
  </r>
  <r>
    <x v="80"/>
    <n v="22.08"/>
    <s v="Expense"/>
    <x v="14"/>
    <s v="Luiz"/>
    <d v="2025-07-04T00:00:00"/>
    <s v="1/1"/>
  </r>
  <r>
    <x v="82"/>
    <n v="57.5"/>
    <s v="Expense"/>
    <x v="13"/>
    <s v="Luiz"/>
    <d v="2025-07-04T00:00:00"/>
    <s v="1/1"/>
  </r>
  <r>
    <x v="83"/>
    <n v="87.7"/>
    <s v="Expense"/>
    <x v="10"/>
    <s v="Luiz"/>
    <d v="2025-07-06T00:00:00"/>
    <s v="1/1"/>
  </r>
  <r>
    <x v="84"/>
    <n v="30.66"/>
    <s v="Expense"/>
    <x v="6"/>
    <s v="Luiz"/>
    <d v="2025-07-06T00:00:00"/>
    <s v="1/4"/>
  </r>
  <r>
    <x v="36"/>
    <n v="117.14"/>
    <s v="Expense"/>
    <x v="7"/>
    <s v="Luiz"/>
    <d v="2025-07-07T00:00:00"/>
    <s v="1/1"/>
  </r>
  <r>
    <x v="85"/>
    <n v="151.4"/>
    <s v="Expense"/>
    <x v="15"/>
    <s v="Luiz"/>
    <d v="2025-07-07T00:00:00"/>
    <s v="1/1"/>
  </r>
  <r>
    <x v="86"/>
    <n v="54"/>
    <s v="Expense"/>
    <x v="15"/>
    <s v="Luiz"/>
    <d v="2025-07-07T00:00:00"/>
    <s v="1/1"/>
  </r>
  <r>
    <x v="87"/>
    <n v="26"/>
    <s v="Expense"/>
    <x v="13"/>
    <s v="Luiz"/>
    <d v="2025-07-07T00:00:00"/>
    <s v="1/1"/>
  </r>
  <r>
    <x v="80"/>
    <n v="48.36"/>
    <s v="Expense"/>
    <x v="14"/>
    <s v="Luiz"/>
    <d v="2025-07-07T00:00:00"/>
    <s v="1/1"/>
  </r>
  <r>
    <x v="88"/>
    <n v="49.9"/>
    <s v="Expense"/>
    <x v="13"/>
    <s v="Luiz"/>
    <d v="2025-07-08T00:00:00"/>
    <s v="1/1"/>
  </r>
  <r>
    <x v="89"/>
    <n v="16.39"/>
    <s v="Expense"/>
    <x v="13"/>
    <s v="Luiz"/>
    <d v="2025-07-08T00:00:00"/>
    <s v="1/1"/>
  </r>
  <r>
    <x v="90"/>
    <n v="50"/>
    <s v="Expense"/>
    <x v="14"/>
    <s v="Luiz"/>
    <d v="2025-07-08T00:00:00"/>
    <s v="1/1"/>
  </r>
  <r>
    <x v="91"/>
    <n v="166.88"/>
    <s v="Expense"/>
    <x v="14"/>
    <s v="Luiz"/>
    <d v="2025-07-09T00:00:00"/>
    <s v="1/1"/>
  </r>
  <r>
    <x v="92"/>
    <n v="5.95"/>
    <s v="Expense"/>
    <x v="13"/>
    <s v="Luiz"/>
    <d v="2025-07-09T00:00:00"/>
    <s v="1/1"/>
  </r>
  <r>
    <x v="93"/>
    <n v="37.18"/>
    <s v="Expense"/>
    <x v="8"/>
    <s v="Luiz"/>
    <d v="2025-07-09T00:00:00"/>
    <s v="1/1"/>
  </r>
  <r>
    <x v="36"/>
    <n v="40.630000000000003"/>
    <s v="Expense"/>
    <x v="7"/>
    <s v="Luiz"/>
    <d v="2025-07-10T00:00:00"/>
    <s v="1/3"/>
  </r>
  <r>
    <x v="76"/>
    <n v="17.79"/>
    <s v="Expense"/>
    <x v="7"/>
    <s v="Luiz"/>
    <d v="2025-07-11T00:00:00"/>
    <s v="1/1"/>
  </r>
  <r>
    <x v="94"/>
    <n v="165.41"/>
    <s v="Expense"/>
    <x v="0"/>
    <s v="Luiz"/>
    <d v="2025-07-11T00:00:00"/>
    <s v="1/1"/>
  </r>
  <r>
    <x v="95"/>
    <n v="119.82"/>
    <s v="Expense"/>
    <x v="16"/>
    <s v="Luiz"/>
    <d v="2025-07-11T00:00:00"/>
    <s v="1/1"/>
  </r>
  <r>
    <x v="96"/>
    <n v="77.98"/>
    <s v="Expense"/>
    <x v="8"/>
    <s v="Luiz"/>
    <d v="2025-07-11T00:00:00"/>
    <s v="1/1"/>
  </r>
  <r>
    <x v="97"/>
    <n v="129.54666666666665"/>
    <s v="Expense"/>
    <x v="8"/>
    <s v="Luiz"/>
    <d v="2025-07-11T00:00:00"/>
    <s v="1/3"/>
  </r>
  <r>
    <x v="98"/>
    <n v="20.82"/>
    <s v="Expense"/>
    <x v="6"/>
    <s v="Luiz"/>
    <d v="2025-07-12T00:00:00"/>
    <s v="1/1"/>
  </r>
  <r>
    <x v="80"/>
    <n v="10.08"/>
    <s v="Expense"/>
    <x v="14"/>
    <s v="Luiz"/>
    <d v="2025-07-12T00:00:00"/>
    <s v="1/1"/>
  </r>
  <r>
    <x v="80"/>
    <n v="16.32"/>
    <s v="Expense"/>
    <x v="14"/>
    <s v="Luiz"/>
    <d v="2025-07-12T00:00:00"/>
    <s v="1/1"/>
  </r>
  <r>
    <x v="99"/>
    <n v="38"/>
    <s v="Expense"/>
    <x v="17"/>
    <s v="Maria"/>
    <d v="2025-07-12T00:00:00"/>
    <s v="1/1"/>
  </r>
  <r>
    <x v="100"/>
    <n v="50"/>
    <s v="Expense"/>
    <x v="14"/>
    <s v="Maria"/>
    <d v="2025-07-12T00:00:00"/>
    <s v="1/1"/>
  </r>
  <r>
    <x v="101"/>
    <n v="20"/>
    <s v="Expense"/>
    <x v="13"/>
    <s v="Luiz"/>
    <d v="2025-07-13T00:00:00"/>
    <s v="1/1"/>
  </r>
  <r>
    <x v="102"/>
    <n v="156.22"/>
    <s v="Expense"/>
    <x v="8"/>
    <s v="Luiz"/>
    <d v="2025-07-13T00:00:00"/>
    <s v="1/1"/>
  </r>
  <r>
    <x v="80"/>
    <n v="16.09"/>
    <s v="Expense"/>
    <x v="14"/>
    <s v="Luiz"/>
    <d v="2025-07-13T00:00:00"/>
    <s v="1/1"/>
  </r>
  <r>
    <x v="103"/>
    <n v="69.900000000000006"/>
    <s v="Expense"/>
    <x v="17"/>
    <s v="Maria"/>
    <d v="2025-07-13T00:00:00"/>
    <s v="1/1"/>
  </r>
  <r>
    <x v="104"/>
    <n v="89"/>
    <s v="Expense"/>
    <x v="5"/>
    <s v="Luiz"/>
    <d v="2025-07-14T00:00:00"/>
    <s v="1/12"/>
  </r>
  <r>
    <x v="105"/>
    <n v="153.03"/>
    <s v="Expense"/>
    <x v="12"/>
    <s v="Maria"/>
    <d v="2025-07-14T00:00:00"/>
    <s v="1/3"/>
  </r>
  <r>
    <x v="106"/>
    <n v="32.497500000000002"/>
    <s v="Expense"/>
    <x v="7"/>
    <s v="Luiz"/>
    <d v="2025-07-14T00:00:00"/>
    <s v="1/4"/>
  </r>
  <r>
    <x v="107"/>
    <n v="26.9"/>
    <s v="Expense"/>
    <x v="5"/>
    <s v="Luiz"/>
    <d v="2025-07-14T00:00:00"/>
    <s v="1/1"/>
  </r>
  <r>
    <x v="108"/>
    <n v="49.45"/>
    <s v="Expense"/>
    <x v="7"/>
    <s v="Luiz"/>
    <d v="2025-07-15T00:00:00"/>
    <s v="1/2"/>
  </r>
  <r>
    <x v="109"/>
    <n v="5.95"/>
    <s v="Expense"/>
    <x v="13"/>
    <s v="Maria"/>
    <d v="2025-07-15T00:00:00"/>
    <s v="1/1"/>
  </r>
  <r>
    <x v="110"/>
    <n v="136.0575"/>
    <s v="Expense"/>
    <x v="12"/>
    <s v="Maria"/>
    <d v="2025-07-15T00:00:00"/>
    <s v="1/12"/>
  </r>
  <r>
    <x v="111"/>
    <n v="413.28"/>
    <s v="Expense"/>
    <x v="6"/>
    <s v="Luiz"/>
    <d v="2025-07-15T00:00:00"/>
    <s v="1/1"/>
  </r>
  <r>
    <x v="112"/>
    <n v="19.47"/>
    <s v="Expense"/>
    <x v="10"/>
    <s v="Luiz"/>
    <d v="2025-07-15T00:00:00"/>
    <s v="1/1"/>
  </r>
  <r>
    <x v="112"/>
    <n v="21.9"/>
    <s v="Expense"/>
    <x v="10"/>
    <s v="Luiz"/>
    <d v="2025-07-15T00:00:00"/>
    <s v="1/1"/>
  </r>
  <r>
    <x v="113"/>
    <n v="75.993333333333325"/>
    <s v="Expense"/>
    <x v="7"/>
    <s v="Luiz"/>
    <d v="2025-07-16T00:00:00"/>
    <s v="1/3"/>
  </r>
  <r>
    <x v="114"/>
    <n v="81.563999999999993"/>
    <s v="Expense"/>
    <x v="10"/>
    <s v="Luiz"/>
    <d v="2025-07-16T00:00:00"/>
    <s v="1/10"/>
  </r>
  <r>
    <x v="115"/>
    <n v="42.616666666666667"/>
    <s v="Expense"/>
    <x v="10"/>
    <s v="Luiz"/>
    <d v="2025-07-16T00:00:00"/>
    <s v="1/6"/>
  </r>
  <r>
    <x v="116"/>
    <n v="30"/>
    <s v="Expense"/>
    <x v="10"/>
    <s v="Luiz"/>
    <d v="2025-07-16T00:00:00"/>
    <s v="1/10"/>
  </r>
  <r>
    <x v="117"/>
    <n v="100"/>
    <s v="Expense"/>
    <x v="12"/>
    <s v="Luiz"/>
    <d v="2025-07-17T00:00:00"/>
    <s v="1/1"/>
  </r>
  <r>
    <x v="80"/>
    <n v="39.119999999999997"/>
    <s v="Expense"/>
    <x v="14"/>
    <s v="Luiz"/>
    <d v="2025-07-17T00:00:00"/>
    <s v="1/1"/>
  </r>
  <r>
    <x v="118"/>
    <n v="144.74666666666667"/>
    <s v="Expense"/>
    <x v="12"/>
    <s v="Luiz"/>
    <d v="2025-07-17T00:00:00"/>
    <s v="1/3"/>
  </r>
  <r>
    <x v="119"/>
    <n v="174.9"/>
    <s v="Expense"/>
    <x v="0"/>
    <s v="Luiz"/>
    <d v="2025-07-17T00:00:00"/>
    <s v="1/1"/>
  </r>
  <r>
    <x v="120"/>
    <n v="7.9"/>
    <s v="Expense"/>
    <x v="14"/>
    <s v="Maria"/>
    <d v="2025-07-17T00:00:00"/>
    <s v="1/1"/>
  </r>
  <r>
    <x v="121"/>
    <n v="26.89"/>
    <s v="Expense"/>
    <x v="8"/>
    <s v="Luiz"/>
    <d v="2025-07-18T00:00:00"/>
    <s v="1/1"/>
  </r>
  <r>
    <x v="122"/>
    <n v="15.8"/>
    <s v="Expense"/>
    <x v="14"/>
    <s v="Luiz"/>
    <d v="2025-07-18T00:00:00"/>
    <s v="1/1"/>
  </r>
  <r>
    <x v="123"/>
    <n v="79.989999999999995"/>
    <s v="Expense"/>
    <x v="10"/>
    <s v="Luiz"/>
    <d v="2025-07-18T00:00:00"/>
    <s v="1/1"/>
  </r>
  <r>
    <x v="124"/>
    <n v="49.8"/>
    <s v="Expense"/>
    <x v="10"/>
    <s v="Luiz"/>
    <d v="2025-07-18T00:00:00"/>
    <s v="1/1"/>
  </r>
  <r>
    <x v="125"/>
    <n v="411.48"/>
    <s v="Expense"/>
    <x v="15"/>
    <s v="Maria"/>
    <d v="2025-07-18T00:00:00"/>
    <s v="1/12"/>
  </r>
  <r>
    <x v="80"/>
    <n v="16.91"/>
    <s v="Expense"/>
    <x v="14"/>
    <s v="Luiz"/>
    <d v="2025-07-19T00:00:00"/>
    <s v="1/1"/>
  </r>
  <r>
    <x v="126"/>
    <n v="44"/>
    <s v="Expense"/>
    <x v="13"/>
    <s v="Luiz"/>
    <d v="2025-07-19T00:00:00"/>
    <s v="1/1"/>
  </r>
  <r>
    <x v="80"/>
    <n v="25.98"/>
    <s v="Expense"/>
    <x v="14"/>
    <s v="Luiz"/>
    <d v="2025-07-19T00:00:00"/>
    <s v="1/1"/>
  </r>
  <r>
    <x v="80"/>
    <n v="9.9499999999999993"/>
    <s v="Expense"/>
    <x v="14"/>
    <s v="Luiz"/>
    <d v="2025-07-19T00:00:00"/>
    <s v="1/1"/>
  </r>
  <r>
    <x v="122"/>
    <n v="15.8"/>
    <s v="Expense"/>
    <x v="14"/>
    <s v="Luiz"/>
    <d v="2025-07-19T00:00:00"/>
    <s v="1/1"/>
  </r>
  <r>
    <x v="127"/>
    <n v="61.5"/>
    <s v="Expense"/>
    <x v="13"/>
    <s v="Luiz"/>
    <d v="2025-07-19T00:00:00"/>
    <s v="1/1"/>
  </r>
  <r>
    <x v="127"/>
    <n v="9.5"/>
    <s v="Expense"/>
    <x v="13"/>
    <s v="Luiz"/>
    <d v="2025-07-19T00:00:00"/>
    <s v="1/1"/>
  </r>
  <r>
    <x v="128"/>
    <n v="24.5"/>
    <s v="Expense"/>
    <x v="14"/>
    <s v="Luiz"/>
    <d v="2025-07-19T00:00:00"/>
    <s v="1/1"/>
  </r>
  <r>
    <x v="128"/>
    <n v="32.659999999999997"/>
    <s v="Expense"/>
    <x v="14"/>
    <s v="Luiz"/>
    <d v="2025-07-19T00:00:00"/>
    <s v="1/1"/>
  </r>
  <r>
    <x v="128"/>
    <n v="20.13"/>
    <s v="Expense"/>
    <x v="14"/>
    <s v="Luiz"/>
    <d v="2025-07-19T00:00:00"/>
    <s v="1/1"/>
  </r>
  <r>
    <x v="129"/>
    <n v="149"/>
    <s v="Expense"/>
    <x v="17"/>
    <s v="Maria"/>
    <d v="2025-07-19T00:00:00"/>
    <s v="1/1"/>
  </r>
  <r>
    <x v="130"/>
    <n v="99.95"/>
    <s v="Expense"/>
    <x v="10"/>
    <s v="Maria"/>
    <d v="2025-07-19T00:00:00"/>
    <s v="1/2"/>
  </r>
  <r>
    <x v="101"/>
    <n v="20"/>
    <s v="Expense"/>
    <x v="13"/>
    <s v="Luiz"/>
    <d v="2025-07-20T00:00:00"/>
    <s v="1/1"/>
  </r>
  <r>
    <x v="131"/>
    <n v="46.62"/>
    <s v="Expense"/>
    <x v="8"/>
    <s v="Luiz"/>
    <d v="2025-07-20T00:00:00"/>
    <s v="1/1"/>
  </r>
  <r>
    <x v="132"/>
    <n v="58.8"/>
    <s v="Expense"/>
    <x v="10"/>
    <s v="Luiz"/>
    <d v="2025-07-20T00:00:00"/>
    <s v="1/1"/>
  </r>
  <r>
    <x v="128"/>
    <n v="8.8000000000000007"/>
    <s v="Expense"/>
    <x v="14"/>
    <s v="Luiz"/>
    <d v="2025-07-20T00:00:00"/>
    <s v="1/1"/>
  </r>
  <r>
    <x v="128"/>
    <n v="20.6"/>
    <s v="Expense"/>
    <x v="14"/>
    <s v="Luiz"/>
    <d v="2025-07-20T00:00:00"/>
    <s v="1/1"/>
  </r>
  <r>
    <x v="128"/>
    <n v="40.82"/>
    <s v="Expense"/>
    <x v="14"/>
    <s v="Luiz"/>
    <d v="2025-07-20T00:00:00"/>
    <s v="1/1"/>
  </r>
  <r>
    <x v="133"/>
    <n v="6.9799999999999995"/>
    <s v="Expense"/>
    <x v="14"/>
    <s v="Luiz"/>
    <d v="2025-07-21T00:00:00"/>
    <s v="1/1"/>
  </r>
  <r>
    <x v="134"/>
    <n v="70"/>
    <s v="Expense"/>
    <x v="11"/>
    <s v="Luiz"/>
    <d v="2025-07-21T00:00:00"/>
    <s v="1/1"/>
  </r>
  <r>
    <x v="135"/>
    <n v="214.29"/>
    <s v="Expense"/>
    <x v="8"/>
    <m/>
    <d v="2025-07-22T00:00:00"/>
    <s v="1/1"/>
  </r>
  <r>
    <x v="136"/>
    <n v="44.5"/>
    <s v="Expense"/>
    <x v="10"/>
    <m/>
    <d v="2025-07-21T00:00:00"/>
    <s v="1/6"/>
  </r>
  <r>
    <x v="137"/>
    <n v="84.71"/>
    <s v="Expense"/>
    <x v="8"/>
    <m/>
    <d v="2025-07-22T00:00:00"/>
    <s v="1/1"/>
  </r>
  <r>
    <x v="138"/>
    <n v="66.239999999999995"/>
    <s v="Expense"/>
    <x v="13"/>
    <m/>
    <d v="2025-07-22T00:00:00"/>
    <s v="1/1"/>
  </r>
  <r>
    <x v="139"/>
    <n v="32"/>
    <s v="Expense"/>
    <x v="14"/>
    <m/>
    <d v="2025-07-23T00:00:00"/>
    <s v="1/1"/>
  </r>
  <r>
    <x v="140"/>
    <n v="71.790000000000006"/>
    <s v="Expense"/>
    <x v="11"/>
    <m/>
    <d v="2025-07-23T00:00:00"/>
    <s v="1/1"/>
  </r>
  <r>
    <x v="140"/>
    <n v="86.46"/>
    <s v="Expense"/>
    <x v="11"/>
    <m/>
    <d v="2025-07-24T00:00:00"/>
    <s v="1/3"/>
  </r>
  <r>
    <x v="135"/>
    <n v="43.72"/>
    <s v="Expense"/>
    <x v="8"/>
    <m/>
    <d v="2025-07-24T00:00:00"/>
    <s v="1/1"/>
  </r>
  <r>
    <x v="141"/>
    <n v="61.666666666666664"/>
    <s v="Expense"/>
    <x v="8"/>
    <m/>
    <d v="2025-07-25T00:00:00"/>
    <s v="1/3"/>
  </r>
  <r>
    <x v="135"/>
    <n v="209.03"/>
    <s v="Expense"/>
    <x v="8"/>
    <m/>
    <d v="2025-07-25T00:00:00"/>
    <s v="1/1"/>
  </r>
  <r>
    <x v="139"/>
    <n v="16"/>
    <s v="Expense"/>
    <x v="14"/>
    <m/>
    <d v="2025-07-25T00:00:00"/>
    <s v="1/1"/>
  </r>
  <r>
    <x v="140"/>
    <n v="82.02"/>
    <s v="Expense"/>
    <x v="11"/>
    <m/>
    <d v="2025-07-25T00:00:00"/>
    <s v="1/1"/>
  </r>
  <r>
    <x v="135"/>
    <n v="60.09"/>
    <s v="Expense"/>
    <x v="8"/>
    <m/>
    <d v="2025-07-25T00:00:00"/>
    <s v="1/1"/>
  </r>
  <r>
    <x v="142"/>
    <n v="48.82"/>
    <s v="Expense"/>
    <x v="10"/>
    <m/>
    <d v="2025-07-25T00:00:00"/>
    <s v="1/1"/>
  </r>
  <r>
    <x v="143"/>
    <n v="61.43"/>
    <s v="Expense"/>
    <x v="3"/>
    <m/>
    <d v="2025-07-26T00:00:00"/>
    <s v="1/6"/>
  </r>
  <r>
    <x v="144"/>
    <n v="52.050000000000004"/>
    <s v="Expense"/>
    <x v="3"/>
    <m/>
    <d v="2025-07-26T00:00:00"/>
    <s v="1/6"/>
  </r>
  <r>
    <x v="145"/>
    <n v="37.200000000000003"/>
    <s v="Expense"/>
    <x v="13"/>
    <m/>
    <d v="2025-07-26T00:00:00"/>
    <s v="1/1"/>
  </r>
  <r>
    <x v="146"/>
    <n v="157.25"/>
    <s v="Expense"/>
    <x v="3"/>
    <m/>
    <d v="2025-07-26T00:00:00"/>
    <s v="1/8"/>
  </r>
  <r>
    <x v="135"/>
    <n v="349.29"/>
    <s v="Expense"/>
    <x v="8"/>
    <m/>
    <d v="2025-07-26T00:00:00"/>
    <s v="1/1"/>
  </r>
  <r>
    <x v="140"/>
    <n v="15.58"/>
    <s v="Expense"/>
    <x v="11"/>
    <m/>
    <d v="2025-07-26T00:00:00"/>
    <s v="1/1"/>
  </r>
  <r>
    <x v="147"/>
    <n v="102.81"/>
    <s v="Expense"/>
    <x v="13"/>
    <m/>
    <d v="2025-07-26T00:00:00"/>
    <s v="1/1"/>
  </r>
  <r>
    <x v="148"/>
    <n v="162.37"/>
    <s v="Expense"/>
    <x v="3"/>
    <m/>
    <d v="2025-07-27T00:00:00"/>
    <s v="1/1"/>
  </r>
  <r>
    <x v="91"/>
    <n v="161.91"/>
    <s v="Expense"/>
    <x v="14"/>
    <m/>
    <d v="2025-07-27T00:00:00"/>
    <s v="1/1"/>
  </r>
  <r>
    <x v="100"/>
    <n v="50"/>
    <s v="Expense"/>
    <x v="14"/>
    <m/>
    <d v="2025-07-27T00:00:00"/>
    <s v="1/1"/>
  </r>
  <r>
    <x v="149"/>
    <n v="161.69"/>
    <s v="Expense"/>
    <x v="12"/>
    <m/>
    <d v="2025-07-27T00:00:00"/>
    <s v="1/1"/>
  </r>
  <r>
    <x v="149"/>
    <n v="31.94"/>
    <s v="Expense"/>
    <x v="12"/>
    <m/>
    <d v="2025-07-27T00:00:00"/>
    <s v="1/1"/>
  </r>
  <r>
    <x v="150"/>
    <n v="39.99"/>
    <s v="Expense"/>
    <x v="10"/>
    <m/>
    <d v="2025-07-27T00:00:00"/>
    <s v="1/1"/>
  </r>
  <r>
    <x v="120"/>
    <n v="7.9"/>
    <s v="Expense"/>
    <x v="14"/>
    <m/>
    <d v="2025-07-28T00:00:00"/>
    <s v="1/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972C2F-923B-455D-8654-9424E177EE52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5:K20" firstHeaderRow="1" firstDataRow="1" firstDataCol="1"/>
  <pivotFields count="7">
    <pivotField axis="axisRow" showAll="0">
      <items count="105">
        <item x="65"/>
        <item x="64"/>
        <item x="99"/>
        <item x="97"/>
        <item x="2"/>
        <item x="21"/>
        <item x="69"/>
        <item x="92"/>
        <item x="100"/>
        <item x="68"/>
        <item x="61"/>
        <item x="16"/>
        <item x="27"/>
        <item x="48"/>
        <item x="50"/>
        <item x="63"/>
        <item x="13"/>
        <item x="45"/>
        <item x="37"/>
        <item x="88"/>
        <item x="0"/>
        <item x="70"/>
        <item x="46"/>
        <item x="11"/>
        <item x="81"/>
        <item x="55"/>
        <item x="98"/>
        <item x="59"/>
        <item x="24"/>
        <item x="32"/>
        <item x="56"/>
        <item x="29"/>
        <item x="87"/>
        <item x="31"/>
        <item x="28"/>
        <item x="4"/>
        <item x="10"/>
        <item x="86"/>
        <item x="47"/>
        <item x="9"/>
        <item x="79"/>
        <item x="83"/>
        <item x="17"/>
        <item x="80"/>
        <item x="35"/>
        <item x="76"/>
        <item x="101"/>
        <item x="96"/>
        <item x="89"/>
        <item x="57"/>
        <item x="43"/>
        <item x="39"/>
        <item x="54"/>
        <item x="5"/>
        <item x="72"/>
        <item x="40"/>
        <item x="8"/>
        <item x="60"/>
        <item x="66"/>
        <item x="71"/>
        <item x="22"/>
        <item x="91"/>
        <item x="38"/>
        <item x="6"/>
        <item x="75"/>
        <item x="62"/>
        <item x="12"/>
        <item x="51"/>
        <item x="23"/>
        <item x="95"/>
        <item x="90"/>
        <item x="52"/>
        <item x="30"/>
        <item x="67"/>
        <item x="33"/>
        <item x="15"/>
        <item x="25"/>
        <item x="36"/>
        <item x="85"/>
        <item x="7"/>
        <item x="19"/>
        <item x="82"/>
        <item x="14"/>
        <item x="58"/>
        <item x="73"/>
        <item x="74"/>
        <item x="84"/>
        <item x="18"/>
        <item x="93"/>
        <item x="20"/>
        <item x="41"/>
        <item x="53"/>
        <item x="94"/>
        <item x="102"/>
        <item x="49"/>
        <item x="78"/>
        <item x="3"/>
        <item x="34"/>
        <item x="1"/>
        <item x="44"/>
        <item x="77"/>
        <item x="26"/>
        <item x="42"/>
        <item m="1" x="103"/>
        <item t="default"/>
      </items>
    </pivotField>
    <pivotField dataField="1" showAll="0"/>
    <pivotField showAll="0"/>
    <pivotField axis="axisRow" showAll="0">
      <items count="16">
        <item sd="0" x="13"/>
        <item sd="0" x="8"/>
        <item sd="0" x="3"/>
        <item sd="0" x="6"/>
        <item sd="0" x="9"/>
        <item sd="0" x="0"/>
        <item sd="0" x="11"/>
        <item sd="0" x="5"/>
        <item sd="0" x="4"/>
        <item sd="0" x="10"/>
        <item sd="0" x="12"/>
        <item sd="0" x="2"/>
        <item sd="0" x="7"/>
        <item sd="0" x="1"/>
        <item sd="0" m="1" x="14"/>
        <item t="default" sd="0"/>
      </items>
    </pivotField>
    <pivotField showAll="0"/>
    <pivotField showAll="0"/>
    <pivotField showAll="0"/>
  </pivotFields>
  <rowFields count="2">
    <field x="3"/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3DC604-8F4E-4F9B-803A-F707C4AEB79B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M8:N24" firstHeaderRow="1" firstDataRow="1" firstDataCol="1"/>
  <pivotFields count="7">
    <pivotField axis="axisRow" showAll="0">
      <items count="108">
        <item x="8"/>
        <item x="7"/>
        <item x="36"/>
        <item x="34"/>
        <item x="12"/>
        <item x="58"/>
        <item x="57"/>
        <item x="11"/>
        <item x="4"/>
        <item x="63"/>
        <item x="68"/>
        <item x="62"/>
        <item x="6"/>
        <item x="66"/>
        <item x="27"/>
        <item x="13"/>
        <item x="35"/>
        <item x="2"/>
        <item x="55"/>
        <item x="50"/>
        <item x="45"/>
        <item x="44"/>
        <item x="72"/>
        <item x="26"/>
        <item x="65"/>
        <item x="25"/>
        <item x="69"/>
        <item x="54"/>
        <item x="22"/>
        <item x="53"/>
        <item x="37"/>
        <item x="33"/>
        <item x="28"/>
        <item x="51"/>
        <item x="41"/>
        <item x="40"/>
        <item x="67"/>
        <item x="49"/>
        <item x="15"/>
        <item x="3"/>
        <item x="9"/>
        <item x="52"/>
        <item x="14"/>
        <item x="30"/>
        <item x="42"/>
        <item x="18"/>
        <item x="5"/>
        <item x="48"/>
        <item x="73"/>
        <item x="46"/>
        <item x="32"/>
        <item x="29"/>
        <item x="61"/>
        <item x="59"/>
        <item x="56"/>
        <item x="10"/>
        <item x="60"/>
        <item x="70"/>
        <item x="43"/>
        <item x="24"/>
        <item x="21"/>
        <item x="47"/>
        <item x="1"/>
        <item x="16"/>
        <item x="17"/>
        <item x="23"/>
        <item x="64"/>
        <item x="39"/>
        <item x="31"/>
        <item x="38"/>
        <item x="20"/>
        <item x="71"/>
        <item x="0"/>
        <item x="19"/>
        <item m="1" x="106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t="default"/>
      </items>
    </pivotField>
    <pivotField dataField="1" showAll="0"/>
    <pivotField showAll="0"/>
    <pivotField axis="axisRow" showAll="0">
      <items count="17">
        <item sd="0" x="4"/>
        <item sd="0" x="6"/>
        <item sd="0" x="8"/>
        <item sd="0" x="14"/>
        <item sd="0" x="11"/>
        <item sd="0" x="12"/>
        <item sd="0" x="2"/>
        <item sd="0" x="1"/>
        <item sd="0" x="7"/>
        <item sd="0" x="10"/>
        <item sd="0" x="5"/>
        <item sd="0" x="3"/>
        <item sd="0" x="13"/>
        <item sd="0" x="9"/>
        <item sd="0" x="0"/>
        <item sd="0" m="1" x="15"/>
        <item t="default" sd="0"/>
      </items>
    </pivotField>
    <pivotField showAll="0"/>
    <pivotField showAll="0"/>
    <pivotField showAll="0"/>
  </pivotFields>
  <rowFields count="2">
    <field x="3"/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69B099-6845-462A-9A03-153ACBCB2B9D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7:K24" firstHeaderRow="1" firstDataRow="1" firstDataCol="1"/>
  <pivotFields count="7">
    <pivotField axis="axisRow" showAll="0">
      <items count="101">
        <item x="7"/>
        <item x="6"/>
        <item x="29"/>
        <item x="53"/>
        <item x="27"/>
        <item x="12"/>
        <item x="60"/>
        <item x="42"/>
        <item x="61"/>
        <item x="41"/>
        <item x="64"/>
        <item x="44"/>
        <item x="45"/>
        <item x="10"/>
        <item x="3"/>
        <item x="79"/>
        <item x="77"/>
        <item x="47"/>
        <item x="78"/>
        <item x="67"/>
        <item x="5"/>
        <item x="51"/>
        <item x="58"/>
        <item x="62"/>
        <item x="46"/>
        <item x="13"/>
        <item x="54"/>
        <item x="50"/>
        <item x="28"/>
        <item x="1"/>
        <item x="36"/>
        <item x="35"/>
        <item x="72"/>
        <item x="24"/>
        <item x="49"/>
        <item x="39"/>
        <item x="65"/>
        <item x="32"/>
        <item x="71"/>
        <item x="15"/>
        <item x="70"/>
        <item x="11"/>
        <item x="2"/>
        <item x="8"/>
        <item x="38"/>
        <item x="14"/>
        <item x="59"/>
        <item x="26"/>
        <item x="66"/>
        <item x="33"/>
        <item x="18"/>
        <item x="4"/>
        <item x="74"/>
        <item x="25"/>
        <item x="75"/>
        <item x="43"/>
        <item x="40"/>
        <item x="9"/>
        <item x="73"/>
        <item x="55"/>
        <item x="34"/>
        <item x="23"/>
        <item x="48"/>
        <item x="21"/>
        <item x="37"/>
        <item x="0"/>
        <item x="16"/>
        <item x="17"/>
        <item x="22"/>
        <item x="52"/>
        <item x="56"/>
        <item x="76"/>
        <item x="31"/>
        <item x="30"/>
        <item x="20"/>
        <item x="57"/>
        <item x="63"/>
        <item x="69"/>
        <item x="19"/>
        <item x="68"/>
        <item x="80"/>
        <item x="81"/>
        <item x="82"/>
        <item x="83"/>
        <item x="84"/>
        <item x="85"/>
        <item x="87"/>
        <item x="88"/>
        <item x="89"/>
        <item x="90"/>
        <item x="91"/>
        <item x="92"/>
        <item x="93"/>
        <item x="94"/>
        <item x="95"/>
        <item x="86"/>
        <item x="96"/>
        <item x="97"/>
        <item x="98"/>
        <item x="99"/>
        <item t="default"/>
      </items>
    </pivotField>
    <pivotField dataField="1" numFmtId="2" showAll="0"/>
    <pivotField showAll="0"/>
    <pivotField axis="axisRow" showAll="0">
      <items count="17">
        <item sd="0" x="3"/>
        <item sd="0" x="5"/>
        <item sd="0" x="7"/>
        <item sd="0" x="12"/>
        <item sd="0" x="9"/>
        <item sd="0" x="11"/>
        <item sd="0" x="1"/>
        <item sd="0" x="0"/>
        <item sd="0" x="6"/>
        <item sd="0" x="10"/>
        <item sd="0" x="4"/>
        <item sd="0" x="2"/>
        <item sd="0" x="13"/>
        <item sd="0" x="8"/>
        <item sd="0" x="14"/>
        <item sd="0" x="15"/>
        <item t="default"/>
      </items>
    </pivotField>
    <pivotField showAll="0"/>
    <pivotField numFmtId="14" showAll="0"/>
    <pivotField showAll="0"/>
  </pivotFields>
  <rowFields count="2">
    <field x="3"/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Sum of Amount" fld="1" baseField="0" baseItem="0" numFmtId="2"/>
  </dataFields>
  <formats count="1">
    <format dxfId="18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5C418C-4C7D-4FD5-99C7-88501432DDD3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4:K22" firstHeaderRow="1" firstDataRow="1" firstDataCol="1"/>
  <pivotFields count="7">
    <pivotField axis="axisRow" showAll="0">
      <items count="132">
        <item x="69"/>
        <item x="68"/>
        <item x="8"/>
        <item x="46"/>
        <item x="6"/>
        <item x="30"/>
        <item x="20"/>
        <item x="31"/>
        <item x="19"/>
        <item x="32"/>
        <item x="22"/>
        <item x="23"/>
        <item x="83"/>
        <item x="73"/>
        <item x="54"/>
        <item x="59"/>
        <item x="33"/>
        <item x="41"/>
        <item x="25"/>
        <item x="56"/>
        <item x="37"/>
        <item x="61"/>
        <item x="45"/>
        <item x="57"/>
        <item x="67"/>
        <item x="28"/>
        <item x="50"/>
        <item x="24"/>
        <item x="66"/>
        <item x="36"/>
        <item x="82"/>
        <item x="75"/>
        <item x="55"/>
        <item x="27"/>
        <item x="7"/>
        <item x="43"/>
        <item x="64"/>
        <item x="14"/>
        <item x="13"/>
        <item x="4"/>
        <item x="38"/>
        <item x="17"/>
        <item x="60"/>
        <item x="10"/>
        <item x="48"/>
        <item x="77"/>
        <item x="49"/>
        <item x="74"/>
        <item x="47"/>
        <item x="70"/>
        <item x="81"/>
        <item x="16"/>
        <item x="62"/>
        <item x="76"/>
        <item x="34"/>
        <item x="29"/>
        <item x="53"/>
        <item x="65"/>
        <item x="58"/>
        <item x="5"/>
        <item x="11"/>
        <item x="71"/>
        <item m="1" x="130"/>
        <item x="40"/>
        <item x="21"/>
        <item x="18"/>
        <item x="35"/>
        <item x="72"/>
        <item x="39"/>
        <item x="63"/>
        <item x="12"/>
        <item x="1"/>
        <item x="26"/>
        <item x="2"/>
        <item x="15"/>
        <item x="42"/>
        <item x="78"/>
        <item x="79"/>
        <item x="3"/>
        <item x="52"/>
        <item x="9"/>
        <item x="44"/>
        <item x="51"/>
        <item x="0"/>
        <item x="84"/>
        <item x="85"/>
        <item x="86"/>
        <item x="87"/>
        <item x="88"/>
        <item x="89"/>
        <item x="91"/>
        <item x="92"/>
        <item x="93"/>
        <item x="94"/>
        <item x="95"/>
        <item x="96"/>
        <item x="97"/>
        <item x="98"/>
        <item x="100"/>
        <item x="101"/>
        <item x="102"/>
        <item x="103"/>
        <item x="104"/>
        <item x="105"/>
        <item x="106"/>
        <item x="107"/>
        <item x="90"/>
        <item x="99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m="1" x="129"/>
        <item x="80"/>
        <item x="123"/>
        <item x="124"/>
        <item x="125"/>
        <item x="126"/>
        <item x="127"/>
        <item x="128"/>
        <item t="default"/>
      </items>
    </pivotField>
    <pivotField dataField="1" numFmtId="2" showAll="0"/>
    <pivotField showAll="0"/>
    <pivotField axis="axisRow" showAll="0">
      <items count="18">
        <item sd="0" x="12"/>
        <item sd="0" x="4"/>
        <item sd="0" x="3"/>
        <item sd="0" x="11"/>
        <item sd="0" x="2"/>
        <item sd="0" x="6"/>
        <item sd="0" x="9"/>
        <item sd="0" x="7"/>
        <item sd="0" x="0"/>
        <item sd="0" x="5"/>
        <item sd="0" x="13"/>
        <item sd="0" x="14"/>
        <item sd="0" x="8"/>
        <item sd="0" x="1"/>
        <item sd="0" x="10"/>
        <item sd="0" x="15"/>
        <item sd="0" x="16"/>
        <item t="default" sd="0"/>
      </items>
    </pivotField>
    <pivotField showAll="0"/>
    <pivotField numFmtId="14" showAll="0"/>
    <pivotField showAll="0"/>
  </pivotFields>
  <rowFields count="2">
    <field x="3"/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Sum of Amount" fld="1" baseField="0" baseItem="0" numFmtId="2"/>
  </dataFields>
  <formats count="1">
    <format dxfId="15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2401E0-4206-4B92-94DB-F7A86F3788DC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4:K23" firstHeaderRow="1" firstDataRow="1" firstDataCol="1"/>
  <pivotFields count="7">
    <pivotField axis="axisRow" showAll="0">
      <items count="152">
        <item x="4"/>
        <item m="1" x="149"/>
        <item x="22"/>
        <item x="74"/>
        <item x="20"/>
        <item x="71"/>
        <item x="83"/>
        <item x="82"/>
        <item x="60"/>
        <item x="33"/>
        <item x="40"/>
        <item x="32"/>
        <item x="35"/>
        <item x="36"/>
        <item x="62"/>
        <item x="7"/>
        <item x="42"/>
        <item x="50"/>
        <item x="51"/>
        <item x="63"/>
        <item x="81"/>
        <item x="55"/>
        <item x="46"/>
        <item x="38"/>
        <item x="3"/>
        <item x="37"/>
        <item x="80"/>
        <item x="9"/>
        <item x="39"/>
        <item x="21"/>
        <item x="1"/>
        <item x="65"/>
        <item x="28"/>
        <item x="27"/>
        <item x="18"/>
        <item x="73"/>
        <item x="45"/>
        <item x="31"/>
        <item x="53"/>
        <item x="72"/>
        <item x="24"/>
        <item x="67"/>
        <item x="12"/>
        <item x="57"/>
        <item x="8"/>
        <item x="56"/>
        <item x="2"/>
        <item x="5"/>
        <item x="48"/>
        <item x="30"/>
        <item x="10"/>
        <item x="79"/>
        <item x="64"/>
        <item x="43"/>
        <item x="19"/>
        <item x="84"/>
        <item x="25"/>
        <item m="1" x="148"/>
        <item x="68"/>
        <item x="75"/>
        <item x="34"/>
        <item x="44"/>
        <item x="6"/>
        <item x="78"/>
        <item x="66"/>
        <item x="70"/>
        <item x="59"/>
        <item x="26"/>
        <item x="17"/>
        <item x="41"/>
        <item x="77"/>
        <item x="29"/>
        <item x="0"/>
        <item x="13"/>
        <item m="1" x="150"/>
        <item x="16"/>
        <item x="23"/>
        <item x="76"/>
        <item x="61"/>
        <item x="54"/>
        <item x="47"/>
        <item x="58"/>
        <item x="69"/>
        <item x="49"/>
        <item x="52"/>
        <item x="15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m="1" x="145"/>
        <item m="1" x="146"/>
        <item m="1" x="147"/>
        <item x="142"/>
        <item x="143"/>
        <item x="144"/>
        <item x="11"/>
        <item t="default"/>
      </items>
    </pivotField>
    <pivotField dataField="1" numFmtId="2" showAll="0"/>
    <pivotField showAll="0"/>
    <pivotField axis="axisRow" showAll="0">
      <items count="19">
        <item sd="0" x="2"/>
        <item sd="0" x="4"/>
        <item sd="0" x="9"/>
        <item sd="0" x="16"/>
        <item sd="0" x="7"/>
        <item sd="0" x="11"/>
        <item sd="0" x="1"/>
        <item sd="0" x="0"/>
        <item sd="0" x="6"/>
        <item sd="0" x="10"/>
        <item sd="0" x="3"/>
        <item sd="0" x="17"/>
        <item sd="0" x="5"/>
        <item sd="0" x="13"/>
        <item sd="0" x="8"/>
        <item sd="0" x="15"/>
        <item sd="0" x="14"/>
        <item sd="0" x="12"/>
        <item t="default" sd="0"/>
      </items>
    </pivotField>
    <pivotField showAll="0"/>
    <pivotField showAll="0"/>
    <pivotField showAll="0"/>
  </pivotFields>
  <rowFields count="2">
    <field x="3"/>
    <field x="0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Sum of Amount" fld="1" baseField="0" baseItem="0" numFmtId="2"/>
  </dataFields>
  <formats count="2">
    <format dxfId="13">
      <pivotArea collapsedLevelsAreSubtotals="1" fieldPosition="0">
        <references count="1">
          <reference field="3" count="1">
            <x v="2"/>
          </reference>
        </references>
      </pivotArea>
    </format>
    <format dxfId="12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988846-EDDC-42A4-85CB-5BEA8332D004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J4:K23" firstHeaderRow="1" firstDataRow="1" firstDataCol="1"/>
  <pivotFields count="7">
    <pivotField axis="axisRow" showAll="0">
      <items count="155">
        <item x="5"/>
        <item m="1" x="152"/>
        <item x="54"/>
        <item x="48"/>
        <item x="33"/>
        <item x="27"/>
        <item x="28"/>
        <item x="29"/>
        <item x="9"/>
        <item x="34"/>
        <item x="42"/>
        <item x="49"/>
        <item x="53"/>
        <item x="46"/>
        <item x="37"/>
        <item x="31"/>
        <item x="4"/>
        <item x="30"/>
        <item x="3"/>
        <item x="32"/>
        <item x="22"/>
        <item x="1"/>
        <item x="50"/>
        <item x="24"/>
        <item x="51"/>
        <item x="36"/>
        <item x="40"/>
        <item x="58"/>
        <item x="44"/>
        <item x="12"/>
        <item x="10"/>
        <item x="2"/>
        <item x="7"/>
        <item x="39"/>
        <item x="26"/>
        <item x="11"/>
        <item x="21"/>
        <item x="23"/>
        <item m="1" x="151"/>
        <item x="35"/>
        <item x="8"/>
        <item x="57"/>
        <item x="56"/>
        <item x="55"/>
        <item x="47"/>
        <item x="20"/>
        <item x="52"/>
        <item x="25"/>
        <item x="0"/>
        <item x="14"/>
        <item m="1" x="153"/>
        <item x="19"/>
        <item x="45"/>
        <item x="38"/>
        <item x="41"/>
        <item x="43"/>
        <item x="18"/>
        <item x="59"/>
        <item x="60"/>
        <item x="61"/>
        <item x="62"/>
        <item x="63"/>
        <item x="64"/>
        <item x="6"/>
        <item x="15"/>
        <item x="65"/>
        <item x="66"/>
        <item x="67"/>
        <item x="68"/>
        <item x="69"/>
        <item x="70"/>
        <item x="71"/>
        <item x="17"/>
        <item x="72"/>
        <item x="73"/>
        <item x="74"/>
        <item x="75"/>
        <item x="76"/>
        <item x="77"/>
        <item x="78"/>
        <item x="80"/>
        <item x="82"/>
        <item x="83"/>
        <item x="84"/>
        <item x="85"/>
        <item x="86"/>
        <item x="87"/>
        <item x="88"/>
        <item x="89"/>
        <item x="90"/>
        <item x="79"/>
        <item x="81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3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6"/>
        <item x="118"/>
        <item x="119"/>
        <item x="121"/>
        <item x="122"/>
        <item x="123"/>
        <item x="124"/>
        <item x="126"/>
        <item x="127"/>
        <item x="131"/>
        <item x="132"/>
        <item x="128"/>
        <item x="133"/>
        <item x="134"/>
        <item x="125"/>
        <item x="120"/>
        <item x="129"/>
        <item x="130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t="default"/>
      </items>
    </pivotField>
    <pivotField dataField="1" showAll="0"/>
    <pivotField showAll="0"/>
    <pivotField axis="axisRow" showAll="0">
      <items count="19">
        <item sd="0" x="3"/>
        <item sd="0" x="5"/>
        <item sd="0" x="7"/>
        <item sd="0" x="9"/>
        <item sd="0" x="6"/>
        <item sd="0" x="1"/>
        <item sd="0" x="0"/>
        <item sd="0" x="8"/>
        <item sd="0" x="11"/>
        <item sd="0" x="4"/>
        <item sd="0" x="2"/>
        <item sd="0" x="10"/>
        <item sd="0" x="12"/>
        <item sd="0" x="13"/>
        <item sd="0" x="14"/>
        <item sd="0" x="15"/>
        <item sd="0" x="16"/>
        <item sd="0" x="17"/>
        <item t="default" sd="0"/>
      </items>
    </pivotField>
    <pivotField showAll="0"/>
    <pivotField showAll="0"/>
    <pivotField showAll="0"/>
  </pivotFields>
  <rowFields count="2">
    <field x="3"/>
    <field x="0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Sum of Amount" fld="1" baseField="0" baseItem="0" numFmtId="2"/>
  </dataFields>
  <formats count="2">
    <format dxfId="10">
      <pivotArea outline="0" collapsedLevelsAreSubtotals="1" fieldPosition="0"/>
    </format>
    <format dxfId="9">
      <pivotArea dataOnly="0" labelOnly="1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07443-3569-46D7-8F56-C25937E70A50}" name="PivotTable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19" firstHeaderRow="1" firstDataRow="1" firstDataCol="1"/>
  <pivotFields count="7">
    <pivotField axis="axisRow" showAll="0">
      <items count="81">
        <item x="5"/>
        <item m="1" x="78"/>
        <item x="45"/>
        <item x="54"/>
        <item x="40"/>
        <item x="30"/>
        <item x="25"/>
        <item x="26"/>
        <item x="8"/>
        <item x="31"/>
        <item x="36"/>
        <item x="42"/>
        <item x="53"/>
        <item x="39"/>
        <item x="33"/>
        <item x="50"/>
        <item x="28"/>
        <item x="4"/>
        <item x="27"/>
        <item x="10"/>
        <item x="29"/>
        <item x="23"/>
        <item x="1"/>
        <item x="41"/>
        <item x="55"/>
        <item x="43"/>
        <item x="52"/>
        <item x="49"/>
        <item x="13"/>
        <item x="9"/>
        <item x="2"/>
        <item x="6"/>
        <item x="35"/>
        <item x="24"/>
        <item x="11"/>
        <item x="22"/>
        <item x="3"/>
        <item x="32"/>
        <item x="7"/>
        <item x="51"/>
        <item x="48"/>
        <item x="47"/>
        <item x="46"/>
        <item x="21"/>
        <item x="44"/>
        <item x="0"/>
        <item x="15"/>
        <item m="1" x="79"/>
        <item x="20"/>
        <item x="38"/>
        <item x="34"/>
        <item x="37"/>
        <item x="19"/>
        <item x="12"/>
        <item x="16"/>
        <item x="18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14"/>
        <item x="17"/>
        <item x="68"/>
        <item x="69"/>
        <item x="70"/>
        <item x="71"/>
        <item x="72"/>
        <item x="73"/>
        <item x="74"/>
        <item x="75"/>
        <item x="76"/>
        <item x="77"/>
        <item t="default"/>
      </items>
    </pivotField>
    <pivotField dataField="1" showAll="0"/>
    <pivotField showAll="0"/>
    <pivotField axis="axisRow" showAll="0">
      <items count="16">
        <item sd="0" x="3"/>
        <item sd="0" x="5"/>
        <item sd="0" x="7"/>
        <item sd="0" x="9"/>
        <item sd="0" x="6"/>
        <item sd="0" x="1"/>
        <item sd="0" x="0"/>
        <item sd="0" x="8"/>
        <item sd="0" x="11"/>
        <item sd="0" x="4"/>
        <item sd="0" x="2"/>
        <item sd="0" x="10"/>
        <item sd="0" x="12"/>
        <item sd="0" m="1" x="14"/>
        <item sd="0" x="13"/>
        <item t="default" sd="0"/>
      </items>
    </pivotField>
    <pivotField showAll="0"/>
    <pivotField showAll="0"/>
    <pivotField showAll="0"/>
  </pivotFields>
  <rowFields count="2">
    <field x="3"/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 t="grand">
      <x/>
    </i>
  </rowItems>
  <colItems count="1">
    <i/>
  </colItems>
  <dataFields count="1">
    <dataField name="Sum of Amount" fld="1" baseField="0" baseItem="0" numFmtId="2"/>
  </dataFields>
  <formats count="1">
    <format dxfId="7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9E529-85DF-4C0A-B1CB-A12FEE5F1F6D}" name="PivotTable2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19" firstHeaderRow="1" firstDataRow="1" firstDataCol="1"/>
  <pivotFields count="7">
    <pivotField axis="axisRow" showAll="0">
      <items count="61">
        <item x="50"/>
        <item x="5"/>
        <item x="10"/>
        <item x="44"/>
        <item x="36"/>
        <item x="55"/>
        <item x="41"/>
        <item x="33"/>
        <item x="26"/>
        <item x="46"/>
        <item x="56"/>
        <item x="8"/>
        <item x="27"/>
        <item x="34"/>
        <item x="35"/>
        <item x="18"/>
        <item x="40"/>
        <item x="29"/>
        <item x="39"/>
        <item x="43"/>
        <item x="25"/>
        <item x="4"/>
        <item x="24"/>
        <item x="59"/>
        <item x="47"/>
        <item x="53"/>
        <item x="11"/>
        <item x="17"/>
        <item x="22"/>
        <item x="1"/>
        <item x="42"/>
        <item x="48"/>
        <item x="54"/>
        <item x="13"/>
        <item x="9"/>
        <item x="2"/>
        <item x="6"/>
        <item x="23"/>
        <item x="12"/>
        <item x="14"/>
        <item x="21"/>
        <item x="3"/>
        <item x="45"/>
        <item x="28"/>
        <item x="7"/>
        <item x="51"/>
        <item x="52"/>
        <item x="58"/>
        <item x="38"/>
        <item x="37"/>
        <item x="57"/>
        <item x="0"/>
        <item x="15"/>
        <item x="16"/>
        <item x="20"/>
        <item x="49"/>
        <item x="32"/>
        <item x="30"/>
        <item x="31"/>
        <item x="19"/>
        <item t="default"/>
      </items>
    </pivotField>
    <pivotField dataField="1" numFmtId="2" showAll="0"/>
    <pivotField showAll="0"/>
    <pivotField axis="axisRow" showAll="0">
      <items count="15">
        <item sd="0" x="3"/>
        <item sd="0" x="5"/>
        <item sd="0" x="7"/>
        <item sd="0" x="9"/>
        <item sd="0" x="6"/>
        <item sd="0" x="1"/>
        <item sd="0" x="0"/>
        <item sd="0" x="8"/>
        <item sd="0" x="11"/>
        <item sd="0" x="4"/>
        <item sd="0" x="2"/>
        <item sd="0" x="10"/>
        <item sd="0" x="13"/>
        <item sd="0" x="12"/>
        <item t="default" sd="0"/>
      </items>
    </pivotField>
    <pivotField showAll="0"/>
    <pivotField showAll="0"/>
    <pivotField showAll="0"/>
  </pivotFields>
  <rowFields count="2">
    <field x="3"/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F3DA1E-9BA8-468F-92FA-D9AB44054A88}" name="PivotTable4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19" firstHeaderRow="1" firstDataRow="1" firstDataCol="1"/>
  <pivotFields count="7">
    <pivotField axis="axisRow" showAll="0">
      <items count="51">
        <item x="43"/>
        <item x="6"/>
        <item x="4"/>
        <item x="40"/>
        <item x="32"/>
        <item x="46"/>
        <item x="37"/>
        <item x="29"/>
        <item x="25"/>
        <item x="42"/>
        <item x="47"/>
        <item x="9"/>
        <item x="30"/>
        <item x="31"/>
        <item x="17"/>
        <item x="36"/>
        <item x="26"/>
        <item x="35"/>
        <item x="39"/>
        <item x="24"/>
        <item x="5"/>
        <item x="23"/>
        <item x="49"/>
        <item x="45"/>
        <item x="11"/>
        <item x="16"/>
        <item x="21"/>
        <item x="1"/>
        <item x="38"/>
        <item x="13"/>
        <item x="10"/>
        <item x="2"/>
        <item x="7"/>
        <item x="22"/>
        <item x="12"/>
        <item x="20"/>
        <item x="3"/>
        <item x="41"/>
        <item x="8"/>
        <item x="44"/>
        <item x="34"/>
        <item x="33"/>
        <item x="48"/>
        <item x="0"/>
        <item x="14"/>
        <item x="15"/>
        <item x="19"/>
        <item x="27"/>
        <item x="28"/>
        <item x="18"/>
        <item t="default"/>
      </items>
    </pivotField>
    <pivotField dataField="1" numFmtId="2" showAll="0"/>
    <pivotField showAll="0"/>
    <pivotField axis="axisRow" showAll="0">
      <items count="15">
        <item sd="0" x="3"/>
        <item sd="0" x="5"/>
        <item sd="0" x="7"/>
        <item sd="0" x="9"/>
        <item sd="0" x="6"/>
        <item sd="0" x="1"/>
        <item sd="0" x="0"/>
        <item sd="0" x="8"/>
        <item sd="0" x="10"/>
        <item sd="0" x="4"/>
        <item sd="0" x="2"/>
        <item sd="0" x="12"/>
        <item sd="0" x="13"/>
        <item sd="0" x="11"/>
        <item t="default" sd="0"/>
      </items>
    </pivotField>
    <pivotField showAll="0"/>
    <pivotField showAll="0"/>
    <pivotField showAll="0"/>
  </pivotFields>
  <rowFields count="2">
    <field x="3"/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B856CC-1CC3-4ED4-821C-4EA4E45551A1}" name="PivotTable6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18" firstHeaderRow="1" firstDataRow="1" firstDataCol="1"/>
  <pivotFields count="7">
    <pivotField axis="axisRow" showAll="0">
      <items count="46">
        <item x="39"/>
        <item x="6"/>
        <item x="3"/>
        <item x="37"/>
        <item x="29"/>
        <item x="41"/>
        <item x="34"/>
        <item x="24"/>
        <item x="42"/>
        <item x="9"/>
        <item x="27"/>
        <item x="28"/>
        <item x="17"/>
        <item x="33"/>
        <item x="25"/>
        <item x="32"/>
        <item x="36"/>
        <item x="23"/>
        <item x="5"/>
        <item x="22"/>
        <item x="44"/>
        <item x="11"/>
        <item x="16"/>
        <item x="20"/>
        <item x="1"/>
        <item x="35"/>
        <item x="13"/>
        <item x="10"/>
        <item x="2"/>
        <item x="7"/>
        <item x="21"/>
        <item x="12"/>
        <item x="19"/>
        <item x="4"/>
        <item x="38"/>
        <item x="8"/>
        <item x="40"/>
        <item x="31"/>
        <item x="30"/>
        <item x="43"/>
        <item x="0"/>
        <item x="14"/>
        <item x="15"/>
        <item x="26"/>
        <item x="18"/>
        <item t="default"/>
      </items>
    </pivotField>
    <pivotField dataField="1" numFmtId="2" showAll="0"/>
    <pivotField showAll="0"/>
    <pivotField axis="axisRow" showAll="0">
      <items count="14">
        <item sd="0" x="3"/>
        <item sd="0" x="5"/>
        <item sd="0" x="7"/>
        <item sd="0" x="6"/>
        <item sd="0" x="1"/>
        <item sd="0" x="0"/>
        <item sd="0" x="8"/>
        <item sd="0" x="9"/>
        <item sd="0" x="4"/>
        <item sd="0" x="2"/>
        <item sd="0" x="11"/>
        <item sd="0" x="12"/>
        <item sd="0" x="10"/>
        <item t="default" sd="0"/>
      </items>
    </pivotField>
    <pivotField showAll="0"/>
    <pivotField showAll="0"/>
    <pivotField showAll="0"/>
  </pivotFields>
  <rowFields count="2">
    <field x="3"/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1C305C-E3A3-48DD-8781-93619C1806E9}" name="PivotTable8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J18" firstHeaderRow="1" firstDataRow="1" firstDataCol="1"/>
  <pivotFields count="7">
    <pivotField axis="axisRow" showAll="0">
      <items count="40">
        <item x="33"/>
        <item x="6"/>
        <item x="3"/>
        <item x="27"/>
        <item x="35"/>
        <item x="30"/>
        <item x="36"/>
        <item x="9"/>
        <item x="26"/>
        <item x="17"/>
        <item x="29"/>
        <item x="24"/>
        <item x="28"/>
        <item x="31"/>
        <item x="23"/>
        <item x="5"/>
        <item x="22"/>
        <item x="38"/>
        <item x="11"/>
        <item x="16"/>
        <item x="20"/>
        <item x="1"/>
        <item x="13"/>
        <item x="10"/>
        <item x="2"/>
        <item x="7"/>
        <item x="21"/>
        <item x="12"/>
        <item x="19"/>
        <item x="4"/>
        <item x="32"/>
        <item x="8"/>
        <item x="34"/>
        <item x="37"/>
        <item x="0"/>
        <item x="14"/>
        <item x="15"/>
        <item x="25"/>
        <item x="18"/>
        <item t="default"/>
      </items>
    </pivotField>
    <pivotField dataField="1" numFmtId="2" showAll="0"/>
    <pivotField showAll="0"/>
    <pivotField axis="axisRow" showAll="0">
      <items count="14">
        <item sd="0" x="3"/>
        <item sd="0" x="5"/>
        <item sd="0" x="7"/>
        <item sd="0" x="6"/>
        <item sd="0" x="1"/>
        <item sd="0" x="0"/>
        <item sd="0" x="8"/>
        <item sd="0" x="9"/>
        <item sd="0" x="4"/>
        <item sd="0" x="2"/>
        <item sd="0" x="11"/>
        <item sd="0" x="12"/>
        <item sd="0" x="10"/>
        <item t="default" sd="0"/>
      </items>
    </pivotField>
    <pivotField showAll="0"/>
    <pivotField showAll="0"/>
    <pivotField showAll="0"/>
  </pivotFields>
  <rowFields count="2">
    <field x="3"/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Amount" fld="1" baseField="0" baseItem="0"/>
  </dataField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4:G118">
  <autoFilter ref="A4:G118" xr:uid="{00000000-000C-0000-FFFF-FFFF00000000}"/>
  <tableColumns count="7">
    <tableColumn id="1" xr3:uid="{00000000-0010-0000-0000-000001000000}" name="Title"/>
    <tableColumn id="2" xr3:uid="{00000000-0010-0000-0000-000002000000}" name="Amount"/>
    <tableColumn id="3" xr3:uid="{00000000-0010-0000-0000-000003000000}" name="Transaction"/>
    <tableColumn id="4" xr3:uid="{00000000-0010-0000-0000-000004000000}" name="Category"/>
    <tableColumn id="5" xr3:uid="{00000000-0010-0000-0000-000005000000}" name="Paid by"/>
    <tableColumn id="6" xr3:uid="{00000000-0010-0000-0000-000006000000}" name="Date"/>
    <tableColumn id="7" xr3:uid="{912F8DAB-FD4C-4C8D-943F-EA7661F501CD}" name="Parcela" dataDxfId="0"/>
  </tableColumns>
  <tableStyleInfo name="12_2024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83A9BB-8D81-405B-8F6D-E4BDF936D976}" name="Table_13" displayName="Table_13" ref="A4:G124">
  <autoFilter ref="A4:G124" xr:uid="{9A83A9BB-8D81-405B-8F6D-E4BDF936D976}"/>
  <tableColumns count="7">
    <tableColumn id="1" xr3:uid="{5B683C50-7C4B-4CDF-B999-F1EDF35847AA}" name="Title"/>
    <tableColumn id="2" xr3:uid="{E2FFA5B5-38D7-4194-AE37-78FBD2FB418A}" name="Amount"/>
    <tableColumn id="3" xr3:uid="{3979FB06-CA4B-466D-A4B5-6DB4201479D3}" name="Transaction"/>
    <tableColumn id="4" xr3:uid="{FBCB7723-1315-4DDE-A128-BDAF23F27752}" name="Category"/>
    <tableColumn id="5" xr3:uid="{B0A25775-5DD7-4516-B56D-EB835C25F57F}" name="Paid by"/>
    <tableColumn id="6" xr3:uid="{DAF0C866-C1D7-435A-90BE-D16B1F20EB1A}" name="Date"/>
    <tableColumn id="7" xr3:uid="{37499094-6B26-433A-8E3F-F39CA905385B}" name="Parcela" dataDxfId="1"/>
  </tableColumns>
  <tableStyleInfo name="02_2025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25D5B9-4013-4DE7-82AF-20359DF7278E}" name="Table_14" displayName="Table_14" ref="A4:G149">
  <autoFilter ref="A4:G149" xr:uid="{FF25D5B9-4013-4DE7-82AF-20359DF7278E}"/>
  <tableColumns count="7">
    <tableColumn id="1" xr3:uid="{471B1720-CCEB-470B-A6E1-13A907809931}" name="Title"/>
    <tableColumn id="2" xr3:uid="{FD7821C6-1154-44A4-9C6A-7A60AECBC194}" name="Amount" dataDxfId="19"/>
    <tableColumn id="3" xr3:uid="{5584454E-9D52-4A7D-9486-2D6EE86AF6B0}" name="Transaction"/>
    <tableColumn id="4" xr3:uid="{4E0A60AC-3BE6-42FC-8C6A-681FF0B132CE}" name="Category"/>
    <tableColumn id="5" xr3:uid="{62DC298D-E01C-44EA-8A89-34A10A5A54D1}" name="Paid by"/>
    <tableColumn id="6" xr3:uid="{D35D1636-3074-4F68-93B9-5D76E4D965A5}" name="Date"/>
    <tableColumn id="7" xr3:uid="{BD20F2B9-E0B1-44B4-AF58-1F2B40E688C2}" name="Parcela"/>
  </tableColumns>
  <tableStyleInfo name="02_2025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C493044-1EDF-4F2B-87C1-EE85468A4A33}" name="Table_15" displayName="Table_15" ref="A4:G134">
  <tableColumns count="7">
    <tableColumn id="1" xr3:uid="{C50FFE57-C898-422B-AC16-D3DC4607BFF6}" name="Title"/>
    <tableColumn id="2" xr3:uid="{40B227EB-E7E0-447C-A843-CE7914D931CA}" name="Amount" dataDxfId="17"/>
    <tableColumn id="3" xr3:uid="{D7C94BF9-2CE0-4186-8313-107C0AB17294}" name="Transaction"/>
    <tableColumn id="4" xr3:uid="{5A3CCE98-5CB8-489B-9786-77CC4BAD56BC}" name="Category"/>
    <tableColumn id="5" xr3:uid="{995068F0-FB15-41A6-9412-44EE31BABDD8}" name="Paid by"/>
    <tableColumn id="6" xr3:uid="{807B158A-1A08-40D9-9776-42C538614CF2}" name="Date"/>
    <tableColumn id="7" xr3:uid="{8E4EC4DD-CDE6-4979-BE6A-51802865CF1D}" name="Parcela" dataDxfId="16"/>
  </tableColumns>
  <tableStyleInfo name="02_2025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F077C9-1AFB-479F-BCA5-DE68802BF6BA}" name="Table_16" displayName="Table_16" ref="A4:G167">
  <autoFilter ref="A4:G167" xr:uid="{28F077C9-1AFB-479F-BCA5-DE68802BF6BA}"/>
  <tableColumns count="7">
    <tableColumn id="1" xr3:uid="{FF3A3EBD-A435-45F9-BDDB-F546270C1765}" name="Title"/>
    <tableColumn id="2" xr3:uid="{BE4C2A8A-BB7B-496D-9C46-E4374DF82A00}" name="Amount" dataDxfId="14"/>
    <tableColumn id="3" xr3:uid="{1A769529-851E-4131-9B0B-EC74B8E56D5F}" name="Transaction"/>
    <tableColumn id="4" xr3:uid="{2EE68520-427C-4BC9-BDD8-6DF34143EF43}" name="Category"/>
    <tableColumn id="5" xr3:uid="{5504FB13-94AD-4724-8CA1-BF071AADAE16}" name="Paid by"/>
    <tableColumn id="6" xr3:uid="{7210B5EA-7311-4805-BB43-8F836E5A95DA}" name="Date"/>
    <tableColumn id="7" xr3:uid="{24B155CF-92DF-44BB-8FD8-813198832961}" name="Parcela"/>
  </tableColumns>
  <tableStyleInfo name="02_2025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7F4EB1A-C6F7-43D2-B04E-058D21192170}" name="Table_17" displayName="Table_17" ref="A4:G174">
  <autoFilter ref="A4:G174" xr:uid="{C7F4EB1A-C6F7-43D2-B04E-058D21192170}"/>
  <tableColumns count="7">
    <tableColumn id="1" xr3:uid="{1DFC5766-1414-4FE4-B465-9FD0E2A95B09}" name="Title"/>
    <tableColumn id="2" xr3:uid="{05EA064A-E445-4EC3-A3CA-E8DCF5597A0C}" name="Amount" dataDxfId="11"/>
    <tableColumn id="3" xr3:uid="{011D1949-1B51-41E7-984F-9CD84C1EE2AC}" name="Transaction"/>
    <tableColumn id="4" xr3:uid="{70790F44-9336-4066-A583-7E3D9C13545C}" name="Category"/>
    <tableColumn id="5" xr3:uid="{9D43E005-DE1A-4DD6-8B28-CA3E088F571C}" name="Paid by"/>
    <tableColumn id="6" xr3:uid="{E32EF890-F0A9-472B-81A8-8D7478BCF66F}" name="Date"/>
    <tableColumn id="7" xr3:uid="{79873C6A-925B-4D39-BDA8-85D2C7103A9A}" name="Parcela"/>
  </tableColumns>
  <tableStyleInfo name="02_2025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EFA26C-6D03-4280-A249-95EF8E10816C}" name="Table_18" displayName="Table_18" ref="A4:G200">
  <autoFilter ref="A4:G200" xr:uid="{E7EFA26C-6D03-4280-A249-95EF8E10816C}"/>
  <tableColumns count="7">
    <tableColumn id="1" xr3:uid="{A594F295-F41A-47BD-8656-F6CB0DDA6B68}" name="Title"/>
    <tableColumn id="2" xr3:uid="{50D5CDFE-532D-4BDE-BAA2-591F25FA996D}" name="Amount" dataDxfId="8"/>
    <tableColumn id="3" xr3:uid="{8A859019-3F76-4531-8753-52C6D9C476BE}" name="Transaction"/>
    <tableColumn id="4" xr3:uid="{857B097F-0C06-43B1-A682-AEA582ED1135}" name="Category"/>
    <tableColumn id="5" xr3:uid="{9EE60847-864D-48E5-8189-FCE7AF24D0F5}" name="Paid by"/>
    <tableColumn id="6" xr3:uid="{E3EDCCB4-29F0-48D5-B540-A991B56B2353}" name="Date"/>
    <tableColumn id="7" xr3:uid="{7152814F-3CD1-4389-9F20-A30CF37907AD}" name="Parcela"/>
  </tableColumns>
  <tableStyleInfo name="02_2025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1CC3CA1-B79F-429E-B9F2-2D2875049E70}" name="Table_189" displayName="Table_189" ref="A4:G91">
  <autoFilter ref="A4:G91" xr:uid="{51CC3CA1-B79F-429E-B9F2-2D2875049E70}"/>
  <tableColumns count="7">
    <tableColumn id="1" xr3:uid="{F2A5F69F-817D-4BA3-92C2-07D67F2BF379}" name="Title"/>
    <tableColumn id="2" xr3:uid="{6865C97C-D45E-4ED9-8F65-7FC18C07AF1A}" name="Amount" dataDxfId="6"/>
    <tableColumn id="3" xr3:uid="{D78BF3E0-EEC7-4EA4-9687-65BF6AF04EE0}" name="Transaction"/>
    <tableColumn id="4" xr3:uid="{C5FE03D6-6CEC-484F-9F06-95962E4BBF63}" name="Category"/>
    <tableColumn id="5" xr3:uid="{74EE2A6A-F35A-4CD6-A10B-7FD5F47169B2}" name="Paid by"/>
    <tableColumn id="6" xr3:uid="{BB6581E9-3231-4072-A9D8-88618E923405}" name="Date"/>
    <tableColumn id="7" xr3:uid="{4FF88439-4C75-4B13-B37B-3D2D830BC588}" name="Parcela"/>
  </tableColumns>
  <tableStyleInfo name="02_2025-style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30B1B54-F34A-4EBE-B156-285E74D31B11}" name="Table_18910" displayName="Table_18910" ref="A4:G72">
  <autoFilter ref="A4:G72" xr:uid="{230B1B54-F34A-4EBE-B156-285E74D31B11}"/>
  <tableColumns count="7">
    <tableColumn id="1" xr3:uid="{B3400C8A-0658-4ACC-B36B-9E8BAD99102C}" name="Title"/>
    <tableColumn id="2" xr3:uid="{60EA1E43-C624-413E-9A35-E2BECEBA9B7C}" name="Amount" dataDxfId="5"/>
    <tableColumn id="3" xr3:uid="{47E14C02-412F-4B38-9F7B-77752793A8CE}" name="Transaction"/>
    <tableColumn id="4" xr3:uid="{16A28C52-9383-438E-A84A-F2BCE3876E1B}" name="Category"/>
    <tableColumn id="5" xr3:uid="{3A521056-515A-4DEA-9E38-C7B2A6B6214C}" name="Paid by"/>
    <tableColumn id="6" xr3:uid="{F67C19B2-1940-40A2-B760-F3E0D92288E4}" name="Date"/>
    <tableColumn id="7" xr3:uid="{5E8AAE19-7C40-42D3-BF96-5D63F7373FDE}" name="Parcela"/>
  </tableColumns>
  <tableStyleInfo name="02_2025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1C09067-7A71-4B29-8BF0-B96D24589A39}" name="Table_1891011" displayName="Table_1891011" ref="A4:G59">
  <tableColumns count="7">
    <tableColumn id="1" xr3:uid="{27748FEB-9D82-4E36-9F94-53DDB29541CB}" name="Title"/>
    <tableColumn id="2" xr3:uid="{B4233BDC-1BD3-4FAA-8D13-BB0CCF2C581B}" name="Amount" dataDxfId="4"/>
    <tableColumn id="3" xr3:uid="{6013DC66-89C1-4303-BD26-2228C7B79755}" name="Transaction"/>
    <tableColumn id="4" xr3:uid="{D94E3E89-1CCD-4B12-96FF-A74649907481}" name="Category"/>
    <tableColumn id="5" xr3:uid="{9A3DF037-5D73-46F0-BE93-613CB07F8CBB}" name="Paid by"/>
    <tableColumn id="6" xr3:uid="{5261313B-7492-4D24-BE87-81B1743D3B13}" name="Date"/>
    <tableColumn id="7" xr3:uid="{1B40EEC1-8C94-4A94-843B-971A801C4E46}" name="Parcela"/>
  </tableColumns>
  <tableStyleInfo name="02_2025-style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CD641AA-FA67-42CF-BC34-04F6317D2BD7}" name="Table_189101112" displayName="Table_189101112" ref="A4:G54">
  <tableColumns count="7">
    <tableColumn id="1" xr3:uid="{2D276FBE-0035-4467-B511-628E888A437C}" name="Title"/>
    <tableColumn id="2" xr3:uid="{CF116C60-4711-4630-B677-3726EA100642}" name="Amount" dataDxfId="3"/>
    <tableColumn id="3" xr3:uid="{A2D953CB-7C81-4568-B5A1-D1909EED1275}" name="Transaction"/>
    <tableColumn id="4" xr3:uid="{BFA3E0AA-8BEC-4BDB-9218-8B2C3DAD7C62}" name="Category"/>
    <tableColumn id="5" xr3:uid="{B446EEBB-74F8-4138-8473-41619A440D89}" name="Paid by"/>
    <tableColumn id="6" xr3:uid="{8D12D1B1-3D4B-406C-86AF-5621EE3E7F25}" name="Date"/>
    <tableColumn id="7" xr3:uid="{1026BD10-0962-424E-9590-F983DAE469FC}" name="Parcela"/>
  </tableColumns>
  <tableStyleInfo name="02_2025-style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13D825A-BD01-43F8-85FE-D6517EDC3EE4}" name="Table_18910111213" displayName="Table_18910111213" ref="A4:G47">
  <tableColumns count="7">
    <tableColumn id="1" xr3:uid="{9A23D18B-09C6-49B8-B07D-43EA48B91FD0}" name="Title"/>
    <tableColumn id="2" xr3:uid="{EAB306E7-BCB7-4F83-8A0B-4617A4E4E41B}" name="Amount" dataDxfId="2"/>
    <tableColumn id="3" xr3:uid="{9EC4A5C6-2902-4834-9A60-322A46371948}" name="Transaction"/>
    <tableColumn id="4" xr3:uid="{2917AB54-3BD1-47DB-977F-7A384F0F6481}" name="Category"/>
    <tableColumn id="5" xr3:uid="{33F10465-F10B-42CA-9E04-61A4A278689F}" name="Paid by"/>
    <tableColumn id="6" xr3:uid="{ADE869B0-6434-4EA2-8216-F9B1C4C1CAA8}" name="Date"/>
    <tableColumn id="7" xr3:uid="{596F4E18-4539-4D7D-8325-F6C8767E069A}" name="Parcela"/>
  </tableColumns>
  <tableStyleInfo name="02_2025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8BFCA88-9C5D-4215-8D2C-AD60406EDF1C}" name="Table_114" displayName="Table_114" ref="A1:E115">
  <autoFilter ref="A1:E115" xr:uid="{88BFCA88-9C5D-4215-8D2C-AD60406EDF1C}"/>
  <tableColumns count="5">
    <tableColumn id="1" xr3:uid="{BE144ABC-65E4-411E-A59D-2A6115366B11}" name="Title"/>
    <tableColumn id="2" xr3:uid="{611B5ACC-C7C6-4811-880F-7FA4504D891F}" name="Amount"/>
    <tableColumn id="3" xr3:uid="{133E8A43-9647-48FF-8596-50776F538BFB}" name="Transaction"/>
    <tableColumn id="4" xr3:uid="{6F843392-14E0-4269-A228-9D809C88126B}" name="Category"/>
    <tableColumn id="6" xr3:uid="{25A98FFB-932D-4227-83E1-7562D886CEEA}" name="Date"/>
  </tableColumns>
  <tableStyleInfo name="12_2024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ivotTable" Target="../pivotTables/pivot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8C9F2-4246-4C16-B1C2-8D3B2DFB0D43}">
  <sheetPr codeName="Sheet1"/>
  <dimension ref="A1:G1048576"/>
  <sheetViews>
    <sheetView workbookViewId="0">
      <selection activeCell="F4" sqref="F4"/>
    </sheetView>
  </sheetViews>
  <sheetFormatPr defaultRowHeight="15" x14ac:dyDescent="0.25"/>
  <cols>
    <col min="4" max="4" width="9.7109375" bestFit="1" customWidth="1"/>
    <col min="6" max="6" width="9.7109375" bestFit="1" customWidth="1"/>
  </cols>
  <sheetData>
    <row r="1" spans="1:7" x14ac:dyDescent="0.25">
      <c r="A1" s="20" t="s">
        <v>1</v>
      </c>
      <c r="B1" s="20" t="s">
        <v>2</v>
      </c>
      <c r="C1" s="20" t="s">
        <v>3</v>
      </c>
      <c r="D1" s="20" t="s">
        <v>4</v>
      </c>
      <c r="E1" s="20" t="s">
        <v>5</v>
      </c>
      <c r="F1" s="20" t="s">
        <v>6</v>
      </c>
      <c r="G1" s="21" t="s">
        <v>279</v>
      </c>
    </row>
    <row r="2" spans="1:7" s="114" customFormat="1" x14ac:dyDescent="0.25">
      <c r="A2" s="182"/>
      <c r="C2" s="182"/>
      <c r="D2" s="145"/>
      <c r="E2" s="182"/>
      <c r="F2" s="67"/>
      <c r="G2" s="24"/>
    </row>
    <row r="3" spans="1:7" s="114" customFormat="1" x14ac:dyDescent="0.25">
      <c r="A3" s="182"/>
      <c r="C3" s="182"/>
      <c r="D3" s="145"/>
      <c r="E3" s="182"/>
      <c r="F3" s="67"/>
      <c r="G3" s="24"/>
    </row>
    <row r="4" spans="1:7" x14ac:dyDescent="0.25">
      <c r="A4" s="182"/>
      <c r="B4" s="114"/>
      <c r="C4" s="182"/>
      <c r="D4" s="145"/>
      <c r="E4" s="182"/>
      <c r="F4" s="67"/>
      <c r="G4" s="24"/>
    </row>
    <row r="5" spans="1:7" x14ac:dyDescent="0.25">
      <c r="A5" s="149"/>
      <c r="B5" s="146"/>
      <c r="C5" s="145"/>
      <c r="D5" s="145"/>
      <c r="E5" s="145"/>
      <c r="F5" s="67"/>
      <c r="G5" s="24"/>
    </row>
    <row r="6" spans="1:7" x14ac:dyDescent="0.25">
      <c r="A6" s="149"/>
      <c r="B6" s="146"/>
      <c r="C6" s="145"/>
      <c r="D6" s="145"/>
      <c r="E6" s="145"/>
      <c r="F6" s="67"/>
      <c r="G6" s="24"/>
    </row>
    <row r="7" spans="1:7" x14ac:dyDescent="0.25">
      <c r="A7" s="149"/>
      <c r="B7" s="146"/>
      <c r="C7" s="145"/>
      <c r="D7" s="145"/>
      <c r="E7" s="145"/>
      <c r="F7" s="67"/>
      <c r="G7" s="24"/>
    </row>
    <row r="8" spans="1:7" x14ac:dyDescent="0.25">
      <c r="A8" s="149"/>
      <c r="B8" s="146"/>
      <c r="C8" s="145"/>
      <c r="D8" s="145"/>
      <c r="E8" s="145"/>
      <c r="F8" s="67"/>
      <c r="G8" s="24"/>
    </row>
    <row r="9" spans="1:7" x14ac:dyDescent="0.25">
      <c r="A9" s="149"/>
      <c r="B9" s="146"/>
      <c r="C9" s="145"/>
      <c r="D9" s="145"/>
      <c r="E9" s="145"/>
      <c r="F9" s="136"/>
      <c r="G9" s="24"/>
    </row>
    <row r="10" spans="1:7" x14ac:dyDescent="0.25">
      <c r="A10" s="149"/>
      <c r="B10" s="146"/>
      <c r="C10" s="145"/>
      <c r="D10" s="145"/>
      <c r="E10" s="142"/>
      <c r="F10" s="136"/>
      <c r="G10" s="24"/>
    </row>
    <row r="11" spans="1:7" x14ac:dyDescent="0.25">
      <c r="A11" s="149"/>
      <c r="B11" s="146"/>
      <c r="C11" s="145"/>
      <c r="D11" s="145"/>
      <c r="E11" s="142"/>
      <c r="F11" s="136"/>
      <c r="G11" s="24"/>
    </row>
    <row r="12" spans="1:7" x14ac:dyDescent="0.25">
      <c r="A12" s="149"/>
      <c r="B12" s="146"/>
      <c r="C12" s="145"/>
      <c r="D12" s="145"/>
      <c r="E12" s="142"/>
      <c r="F12" s="136"/>
      <c r="G12" s="24"/>
    </row>
    <row r="13" spans="1:7" x14ac:dyDescent="0.25">
      <c r="A13" s="149"/>
      <c r="B13" s="146"/>
      <c r="C13" s="145"/>
      <c r="D13" s="145"/>
      <c r="E13" s="142"/>
      <c r="F13" s="136"/>
      <c r="G13" s="24"/>
    </row>
    <row r="14" spans="1:7" x14ac:dyDescent="0.25">
      <c r="A14" s="149"/>
      <c r="B14" s="146"/>
      <c r="C14" s="145"/>
      <c r="D14" s="145"/>
      <c r="E14" s="142"/>
      <c r="F14" s="136"/>
      <c r="G14" s="24"/>
    </row>
    <row r="15" spans="1:7" x14ac:dyDescent="0.25">
      <c r="A15" s="149"/>
      <c r="B15" s="146"/>
      <c r="C15" s="145"/>
      <c r="D15" s="110"/>
      <c r="E15" s="142"/>
      <c r="F15" s="136"/>
      <c r="G15" s="24"/>
    </row>
    <row r="16" spans="1:7" x14ac:dyDescent="0.25">
      <c r="A16" s="149"/>
      <c r="B16" s="146"/>
      <c r="C16" s="145"/>
      <c r="D16" s="110"/>
      <c r="E16" s="142"/>
      <c r="F16" s="136"/>
      <c r="G16" s="24"/>
    </row>
    <row r="17" spans="1:7" x14ac:dyDescent="0.25">
      <c r="A17" s="149"/>
      <c r="B17" s="146"/>
      <c r="C17" s="145"/>
      <c r="D17" s="110"/>
      <c r="E17" s="142"/>
      <c r="F17" s="136"/>
      <c r="G17" s="24"/>
    </row>
    <row r="18" spans="1:7" x14ac:dyDescent="0.25">
      <c r="A18" s="149"/>
      <c r="B18" s="146"/>
      <c r="C18" s="135"/>
      <c r="D18" s="110"/>
      <c r="E18" s="132"/>
      <c r="F18" s="136"/>
      <c r="G18" s="24"/>
    </row>
    <row r="19" spans="1:7" x14ac:dyDescent="0.25">
      <c r="A19" s="149"/>
      <c r="B19" s="146"/>
      <c r="C19" s="135"/>
      <c r="D19" s="110"/>
      <c r="E19" s="132"/>
      <c r="F19" s="136"/>
      <c r="G19" s="24"/>
    </row>
    <row r="20" spans="1:7" x14ac:dyDescent="0.25">
      <c r="A20" s="149"/>
      <c r="B20" s="146"/>
      <c r="C20" s="135"/>
      <c r="D20" s="132"/>
      <c r="E20" s="132"/>
      <c r="F20" s="19"/>
      <c r="G20" s="24"/>
    </row>
    <row r="21" spans="1:7" x14ac:dyDescent="0.25">
      <c r="A21" s="149"/>
      <c r="B21" s="146"/>
      <c r="C21" s="125"/>
      <c r="D21" s="121"/>
      <c r="E21" s="121"/>
      <c r="F21" s="19"/>
      <c r="G21" s="24"/>
    </row>
    <row r="22" spans="1:7" x14ac:dyDescent="0.25">
      <c r="A22" s="149"/>
      <c r="B22" s="146"/>
      <c r="C22" s="125"/>
      <c r="D22" s="114"/>
      <c r="E22" s="121"/>
      <c r="F22" s="19"/>
      <c r="G22" s="24"/>
    </row>
    <row r="23" spans="1:7" x14ac:dyDescent="0.25">
      <c r="A23" s="149"/>
      <c r="B23" s="149"/>
      <c r="C23" s="125"/>
      <c r="D23" s="121"/>
      <c r="E23" s="121"/>
      <c r="F23" s="19"/>
      <c r="G23" s="24"/>
    </row>
    <row r="24" spans="1:7" x14ac:dyDescent="0.25">
      <c r="A24" s="149"/>
      <c r="B24" s="149"/>
      <c r="C24" s="125"/>
      <c r="D24" s="121"/>
      <c r="E24" s="121"/>
      <c r="F24" s="19"/>
      <c r="G24" s="24"/>
    </row>
    <row r="25" spans="1:7" x14ac:dyDescent="0.25">
      <c r="A25" s="149"/>
      <c r="B25" s="149"/>
      <c r="C25" s="125"/>
      <c r="D25" s="121"/>
      <c r="E25" s="121"/>
      <c r="F25" s="19"/>
      <c r="G25" s="24"/>
    </row>
    <row r="26" spans="1:7" x14ac:dyDescent="0.25">
      <c r="A26" s="149"/>
      <c r="B26" s="149"/>
      <c r="C26" s="125"/>
      <c r="D26" s="121"/>
      <c r="E26" s="121"/>
      <c r="F26" s="19"/>
      <c r="G26" s="24"/>
    </row>
    <row r="27" spans="1:7" x14ac:dyDescent="0.25">
      <c r="A27" s="149"/>
      <c r="B27" s="149"/>
      <c r="F27" s="19"/>
      <c r="G27" s="24"/>
    </row>
    <row r="28" spans="1:7" x14ac:dyDescent="0.25">
      <c r="A28" s="149"/>
      <c r="B28" s="149"/>
      <c r="F28" s="19"/>
      <c r="G28" s="24"/>
    </row>
    <row r="29" spans="1:7" x14ac:dyDescent="0.25">
      <c r="A29" s="149"/>
      <c r="B29" s="149"/>
      <c r="F29" s="19"/>
      <c r="G29" s="24"/>
    </row>
    <row r="30" spans="1:7" x14ac:dyDescent="0.25">
      <c r="G30" s="22"/>
    </row>
    <row r="1048573" spans="3:6" x14ac:dyDescent="0.25">
      <c r="C1048573" s="22"/>
      <c r="F1048573" s="19"/>
    </row>
    <row r="1048576" spans="3:6" x14ac:dyDescent="0.25">
      <c r="E1048576" s="119"/>
    </row>
  </sheetData>
  <dataValidations count="1">
    <dataValidation type="whole" allowBlank="1" showInputMessage="1" showErrorMessage="1" sqref="G6:G17" xr:uid="{0AC943D9-C385-48D6-9697-B2A47FFA8AA6}">
      <formula1>1</formula1>
      <formula2>12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icionarDespesa">
                <anchor moveWithCells="1" sizeWithCells="1">
                  <from>
                    <xdr:col>8</xdr:col>
                    <xdr:colOff>352425</xdr:colOff>
                    <xdr:row>1</xdr:row>
                    <xdr:rowOff>152400</xdr:rowOff>
                  </from>
                  <to>
                    <xdr:col>10</xdr:col>
                    <xdr:colOff>247650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C071138-9D4D-4C6A-88EB-3093473E0E01}">
          <x14:formula1>
            <xm:f>Lists!$B$3:$B$23</xm:f>
          </x14:formula1>
          <xm:sqref>D22 D2:D19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8B178-34BE-480A-93CA-9963565140B2}">
  <sheetPr codeName="Sheet2"/>
  <dimension ref="A1:G31"/>
  <sheetViews>
    <sheetView workbookViewId="0">
      <selection activeCell="J5" sqref="J5"/>
    </sheetView>
  </sheetViews>
  <sheetFormatPr defaultRowHeight="15" x14ac:dyDescent="0.25"/>
  <cols>
    <col min="2" max="2" width="10.7109375" bestFit="1" customWidth="1"/>
    <col min="3" max="3" width="11.7109375" bestFit="1" customWidth="1"/>
  </cols>
  <sheetData>
    <row r="1" spans="1:3" x14ac:dyDescent="0.25">
      <c r="A1" t="s">
        <v>362</v>
      </c>
      <c r="B1" t="s">
        <v>363</v>
      </c>
      <c r="C1" t="s">
        <v>370</v>
      </c>
    </row>
    <row r="2" spans="1:3" x14ac:dyDescent="0.25">
      <c r="A2" t="s">
        <v>364</v>
      </c>
      <c r="B2" s="32">
        <v>5496.9594761904773</v>
      </c>
      <c r="C2" s="32">
        <v>17358.453300000001</v>
      </c>
    </row>
    <row r="3" spans="1:3" x14ac:dyDescent="0.25">
      <c r="A3" t="s">
        <v>365</v>
      </c>
      <c r="B3" s="32">
        <v>4110.9136428571428</v>
      </c>
      <c r="C3" s="32">
        <v>11861.4938</v>
      </c>
    </row>
    <row r="4" spans="1:3" x14ac:dyDescent="0.25">
      <c r="A4" t="s">
        <v>366</v>
      </c>
      <c r="B4" s="32">
        <v>3107.1103095238095</v>
      </c>
      <c r="C4" s="32">
        <v>7750.5802000000003</v>
      </c>
    </row>
    <row r="5" spans="1:3" x14ac:dyDescent="0.25">
      <c r="A5" t="s">
        <v>367</v>
      </c>
      <c r="B5" s="32">
        <v>2626.116809523809</v>
      </c>
      <c r="C5" s="32">
        <v>4643.4699000000001</v>
      </c>
    </row>
    <row r="6" spans="1:3" x14ac:dyDescent="0.25">
      <c r="A6" t="s">
        <v>368</v>
      </c>
      <c r="B6" s="32">
        <v>2017.3530595238096</v>
      </c>
      <c r="C6" s="32">
        <v>2017.3531</v>
      </c>
    </row>
    <row r="7" spans="1:3" x14ac:dyDescent="0.25">
      <c r="A7" t="s">
        <v>369</v>
      </c>
      <c r="B7" s="32">
        <v>1546.5142499999999</v>
      </c>
      <c r="C7" s="32"/>
    </row>
    <row r="8" spans="1:3" x14ac:dyDescent="0.25">
      <c r="B8" s="32"/>
      <c r="C8" s="32"/>
    </row>
    <row r="9" spans="1:3" x14ac:dyDescent="0.25">
      <c r="B9" s="32"/>
      <c r="C9" s="32"/>
    </row>
    <row r="10" spans="1:3" x14ac:dyDescent="0.25">
      <c r="B10" s="32"/>
      <c r="C10" s="32"/>
    </row>
    <row r="11" spans="1:3" x14ac:dyDescent="0.25">
      <c r="B11" s="32"/>
    </row>
    <row r="31" spans="7:7" x14ac:dyDescent="0.25">
      <c r="G31" s="63" t="s">
        <v>414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alcularParcelasPendentesComGrafico">
                <anchor moveWithCells="1" sizeWithCells="1">
                  <from>
                    <xdr:col>4</xdr:col>
                    <xdr:colOff>533400</xdr:colOff>
                    <xdr:row>0</xdr:row>
                    <xdr:rowOff>114300</xdr:rowOff>
                  </from>
                  <to>
                    <xdr:col>7</xdr:col>
                    <xdr:colOff>190500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Z1064"/>
  <sheetViews>
    <sheetView workbookViewId="0">
      <selection activeCell="G118" sqref="G118"/>
    </sheetView>
  </sheetViews>
  <sheetFormatPr defaultColWidth="14.42578125" defaultRowHeight="15" customHeight="1" x14ac:dyDescent="0.25"/>
  <cols>
    <col min="1" max="1" width="33.28515625" customWidth="1"/>
    <col min="2" max="2" width="9.7109375" customWidth="1"/>
    <col min="3" max="3" width="12.7109375" customWidth="1"/>
    <col min="4" max="4" width="16.5703125" customWidth="1"/>
    <col min="5" max="5" width="9.5703125" customWidth="1"/>
    <col min="6" max="6" width="14.28515625" customWidth="1"/>
    <col min="7" max="7" width="10.5703125" style="183" customWidth="1"/>
    <col min="8" max="26" width="8.7109375" customWidth="1"/>
  </cols>
  <sheetData>
    <row r="1" spans="1:26" x14ac:dyDescent="0.25">
      <c r="A1" s="184" t="s">
        <v>0</v>
      </c>
      <c r="B1" s="184">
        <f>SUMIF('01_2025'!$C$5:$C$118,"Expense",'01_2025'!$B$5:$B$118)-SUMIF('01_2025'!$C$5:$C$118,"Income",'01_2025'!$B$5:$B$118)</f>
        <v>-3686.1466666666693</v>
      </c>
    </row>
    <row r="2" spans="1:26" ht="15" customHeight="1" x14ac:dyDescent="0.25">
      <c r="A2" s="185"/>
      <c r="B2" s="185"/>
    </row>
    <row r="3" spans="1:26" x14ac:dyDescent="0.25">
      <c r="F3" s="1">
        <v>12</v>
      </c>
    </row>
    <row r="4" spans="1:26" x14ac:dyDescent="0.25">
      <c r="A4" s="2" t="s">
        <v>1</v>
      </c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192" t="s">
        <v>333</v>
      </c>
    </row>
    <row r="5" spans="1:26" x14ac:dyDescent="0.25">
      <c r="A5" s="2" t="s">
        <v>13</v>
      </c>
      <c r="B5" s="3">
        <v>108.76</v>
      </c>
      <c r="C5" s="2" t="s">
        <v>8</v>
      </c>
      <c r="D5" s="2" t="s">
        <v>11</v>
      </c>
      <c r="E5" s="8" t="s">
        <v>17</v>
      </c>
      <c r="F5" s="5">
        <v>45688</v>
      </c>
      <c r="G5" s="35"/>
    </row>
    <row r="6" spans="1:26" x14ac:dyDescent="0.25">
      <c r="A6" s="2" t="s">
        <v>133</v>
      </c>
      <c r="B6" s="3">
        <v>132.58000000000001</v>
      </c>
      <c r="C6" s="2" t="s">
        <v>8</v>
      </c>
      <c r="D6" s="2" t="s">
        <v>16</v>
      </c>
      <c r="E6" s="8" t="s">
        <v>17</v>
      </c>
      <c r="F6" s="5">
        <v>45688</v>
      </c>
      <c r="G6" s="3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2" t="s">
        <v>132</v>
      </c>
      <c r="B7" s="3">
        <v>350</v>
      </c>
      <c r="C7" s="2" t="s">
        <v>8</v>
      </c>
      <c r="D7" s="2" t="s">
        <v>63</v>
      </c>
      <c r="E7" s="8" t="s">
        <v>17</v>
      </c>
      <c r="F7" s="5">
        <v>45688</v>
      </c>
      <c r="G7" s="3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2" t="s">
        <v>25</v>
      </c>
      <c r="B8" s="3">
        <v>40</v>
      </c>
      <c r="C8" s="2" t="s">
        <v>8</v>
      </c>
      <c r="D8" s="2" t="s">
        <v>26</v>
      </c>
      <c r="E8" s="8" t="s">
        <v>17</v>
      </c>
      <c r="F8" s="5">
        <v>45687</v>
      </c>
      <c r="G8" s="3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2" t="s">
        <v>125</v>
      </c>
      <c r="B9" s="3">
        <v>155</v>
      </c>
      <c r="C9" s="2" t="s">
        <v>8</v>
      </c>
      <c r="D9" s="2" t="s">
        <v>11</v>
      </c>
      <c r="E9" s="8" t="s">
        <v>12</v>
      </c>
      <c r="F9" s="5">
        <v>45687</v>
      </c>
      <c r="G9" s="3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2" t="s">
        <v>15</v>
      </c>
      <c r="B10" s="3">
        <v>299.89999999999998</v>
      </c>
      <c r="C10" s="2" t="s">
        <v>8</v>
      </c>
      <c r="D10" s="2" t="s">
        <v>16</v>
      </c>
      <c r="E10" s="8" t="s">
        <v>17</v>
      </c>
      <c r="F10" s="5">
        <v>45686</v>
      </c>
      <c r="G10" s="3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2" t="s">
        <v>124</v>
      </c>
      <c r="B11" s="3">
        <v>51.8</v>
      </c>
      <c r="C11" s="2" t="s">
        <v>8</v>
      </c>
      <c r="D11" s="2" t="s">
        <v>22</v>
      </c>
      <c r="E11" s="8" t="s">
        <v>17</v>
      </c>
      <c r="F11" s="5">
        <v>45686</v>
      </c>
      <c r="G11" s="3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2" t="s">
        <v>126</v>
      </c>
      <c r="B12" s="3">
        <f>413.95/3</f>
        <v>137.98333333333332</v>
      </c>
      <c r="C12" s="2" t="s">
        <v>8</v>
      </c>
      <c r="D12" s="2" t="s">
        <v>22</v>
      </c>
      <c r="E12" s="8" t="s">
        <v>12</v>
      </c>
      <c r="F12" s="5">
        <v>45685</v>
      </c>
      <c r="G12" s="191" t="s">
        <v>303</v>
      </c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2" t="s">
        <v>122</v>
      </c>
      <c r="B13" s="3">
        <f>595/4</f>
        <v>148.75</v>
      </c>
      <c r="C13" s="2" t="s">
        <v>8</v>
      </c>
      <c r="D13" s="2" t="s">
        <v>14</v>
      </c>
      <c r="E13" s="8" t="s">
        <v>12</v>
      </c>
      <c r="F13" s="5">
        <v>45685</v>
      </c>
      <c r="G13" s="191" t="s">
        <v>299</v>
      </c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2" t="s">
        <v>120</v>
      </c>
      <c r="B14" s="3">
        <v>26.4</v>
      </c>
      <c r="C14" s="2" t="s">
        <v>8</v>
      </c>
      <c r="D14" s="2" t="s">
        <v>31</v>
      </c>
      <c r="E14" s="8" t="s">
        <v>12</v>
      </c>
      <c r="F14" s="5">
        <v>45685</v>
      </c>
      <c r="G14" s="3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2" t="s">
        <v>120</v>
      </c>
      <c r="B15" s="3">
        <v>20.97</v>
      </c>
      <c r="C15" s="2" t="s">
        <v>8</v>
      </c>
      <c r="D15" s="2" t="s">
        <v>31</v>
      </c>
      <c r="E15" s="8" t="s">
        <v>12</v>
      </c>
      <c r="F15" s="5">
        <v>45685</v>
      </c>
      <c r="G15" s="3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6" t="s">
        <v>7</v>
      </c>
      <c r="B16" s="3">
        <f>29.27+9.48</f>
        <v>38.75</v>
      </c>
      <c r="C16" s="6" t="s">
        <v>8</v>
      </c>
      <c r="D16" s="2" t="s">
        <v>22</v>
      </c>
      <c r="E16" s="8" t="s">
        <v>12</v>
      </c>
      <c r="F16" s="5">
        <v>45684</v>
      </c>
      <c r="G16" s="3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6" t="s">
        <v>9</v>
      </c>
      <c r="B17" s="7">
        <v>68.17</v>
      </c>
      <c r="C17" s="6" t="s">
        <v>8</v>
      </c>
      <c r="D17" s="2" t="s">
        <v>22</v>
      </c>
      <c r="E17" s="8" t="s">
        <v>12</v>
      </c>
      <c r="F17" s="5">
        <v>45684</v>
      </c>
      <c r="G17" s="191" t="s">
        <v>397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6" t="s">
        <v>127</v>
      </c>
      <c r="B18" s="7">
        <v>100</v>
      </c>
      <c r="C18" s="6" t="s">
        <v>8</v>
      </c>
      <c r="D18" s="2" t="s">
        <v>63</v>
      </c>
      <c r="E18" s="8" t="s">
        <v>12</v>
      </c>
      <c r="F18" s="5">
        <v>45684</v>
      </c>
      <c r="G18" s="191"/>
    </row>
    <row r="19" spans="1:26" x14ac:dyDescent="0.25">
      <c r="A19" s="6" t="s">
        <v>10</v>
      </c>
      <c r="B19" s="3">
        <f>197.94/6</f>
        <v>32.99</v>
      </c>
      <c r="C19" s="2" t="s">
        <v>8</v>
      </c>
      <c r="D19" s="2" t="s">
        <v>11</v>
      </c>
      <c r="E19" s="4" t="s">
        <v>12</v>
      </c>
      <c r="F19" s="5">
        <v>45683</v>
      </c>
      <c r="G19" s="191" t="s">
        <v>386</v>
      </c>
    </row>
    <row r="20" spans="1:26" x14ac:dyDescent="0.25">
      <c r="A20" s="2" t="s">
        <v>13</v>
      </c>
      <c r="B20" s="3">
        <v>113.54</v>
      </c>
      <c r="C20" s="2" t="s">
        <v>8</v>
      </c>
      <c r="D20" s="2" t="s">
        <v>14</v>
      </c>
      <c r="E20" s="4" t="s">
        <v>12</v>
      </c>
      <c r="F20" s="5">
        <v>45683</v>
      </c>
      <c r="G20" s="191"/>
    </row>
    <row r="21" spans="1:26" x14ac:dyDescent="0.25">
      <c r="A21" s="2" t="s">
        <v>123</v>
      </c>
      <c r="B21" s="3">
        <v>5.96</v>
      </c>
      <c r="C21" s="2" t="s">
        <v>8</v>
      </c>
      <c r="D21" s="2" t="s">
        <v>11</v>
      </c>
      <c r="E21" s="4" t="s">
        <v>12</v>
      </c>
      <c r="F21" s="5">
        <v>45683</v>
      </c>
      <c r="G21" s="31"/>
    </row>
    <row r="22" spans="1:26" x14ac:dyDescent="0.25">
      <c r="A22" s="2" t="s">
        <v>15</v>
      </c>
      <c r="B22" s="3">
        <v>20.98</v>
      </c>
      <c r="C22" s="2" t="s">
        <v>8</v>
      </c>
      <c r="D22" s="2" t="s">
        <v>16</v>
      </c>
      <c r="E22" s="4" t="s">
        <v>17</v>
      </c>
      <c r="F22" s="5">
        <v>45683</v>
      </c>
      <c r="G22" s="31"/>
    </row>
    <row r="23" spans="1:26" x14ac:dyDescent="0.25">
      <c r="A23" s="2" t="s">
        <v>18</v>
      </c>
      <c r="B23" s="3">
        <v>30.99</v>
      </c>
      <c r="C23" s="2" t="s">
        <v>8</v>
      </c>
      <c r="D23" s="2" t="s">
        <v>16</v>
      </c>
      <c r="E23" s="2" t="s">
        <v>12</v>
      </c>
      <c r="F23" s="5">
        <v>45683</v>
      </c>
      <c r="G23" s="31"/>
    </row>
    <row r="24" spans="1:26" x14ac:dyDescent="0.25">
      <c r="A24" s="2" t="s">
        <v>128</v>
      </c>
      <c r="B24" s="3">
        <v>20</v>
      </c>
      <c r="C24" s="2" t="s">
        <v>8</v>
      </c>
      <c r="D24" s="2" t="s">
        <v>63</v>
      </c>
      <c r="E24" s="2" t="s">
        <v>12</v>
      </c>
      <c r="F24" s="5">
        <v>45683</v>
      </c>
      <c r="G24" s="31"/>
    </row>
    <row r="25" spans="1:26" x14ac:dyDescent="0.25">
      <c r="A25" s="2" t="s">
        <v>19</v>
      </c>
      <c r="B25" s="3">
        <f>598.8/12</f>
        <v>49.9</v>
      </c>
      <c r="C25" s="2" t="s">
        <v>8</v>
      </c>
      <c r="D25" s="2" t="s">
        <v>20</v>
      </c>
      <c r="E25" s="2" t="s">
        <v>12</v>
      </c>
      <c r="F25" s="5">
        <v>45681</v>
      </c>
      <c r="G25" s="191" t="s">
        <v>294</v>
      </c>
    </row>
    <row r="26" spans="1:26" x14ac:dyDescent="0.25">
      <c r="A26" s="2" t="s">
        <v>18</v>
      </c>
      <c r="B26" s="3">
        <v>30.99</v>
      </c>
      <c r="C26" s="2" t="s">
        <v>8</v>
      </c>
      <c r="D26" s="2" t="s">
        <v>16</v>
      </c>
      <c r="E26" s="2" t="s">
        <v>12</v>
      </c>
      <c r="F26" s="5">
        <v>45681</v>
      </c>
      <c r="G26" s="31"/>
    </row>
    <row r="27" spans="1:26" x14ac:dyDescent="0.25">
      <c r="A27" s="2" t="s">
        <v>21</v>
      </c>
      <c r="B27" s="3">
        <f>216/6</f>
        <v>36</v>
      </c>
      <c r="C27" s="2" t="s">
        <v>8</v>
      </c>
      <c r="D27" s="2" t="s">
        <v>22</v>
      </c>
      <c r="E27" s="2" t="s">
        <v>12</v>
      </c>
      <c r="F27" s="5">
        <v>45680</v>
      </c>
      <c r="G27" s="191" t="s">
        <v>386</v>
      </c>
    </row>
    <row r="28" spans="1:26" x14ac:dyDescent="0.25">
      <c r="A28" s="2" t="s">
        <v>23</v>
      </c>
      <c r="B28" s="3">
        <v>96.9</v>
      </c>
      <c r="C28" s="2" t="s">
        <v>8</v>
      </c>
      <c r="D28" s="2" t="s">
        <v>22</v>
      </c>
      <c r="E28" s="2" t="s">
        <v>12</v>
      </c>
      <c r="F28" s="5">
        <v>45680</v>
      </c>
      <c r="G28" s="31"/>
    </row>
    <row r="29" spans="1:26" x14ac:dyDescent="0.25">
      <c r="A29" s="2" t="s">
        <v>24</v>
      </c>
      <c r="B29" s="3">
        <v>55.5</v>
      </c>
      <c r="C29" s="2" t="s">
        <v>8</v>
      </c>
      <c r="D29" s="2" t="s">
        <v>22</v>
      </c>
      <c r="E29" s="2" t="s">
        <v>12</v>
      </c>
      <c r="F29" s="5">
        <v>45679</v>
      </c>
      <c r="G29" s="31"/>
    </row>
    <row r="30" spans="1:26" x14ac:dyDescent="0.25">
      <c r="A30" s="2" t="s">
        <v>25</v>
      </c>
      <c r="B30" s="3">
        <v>35</v>
      </c>
      <c r="C30" s="2" t="s">
        <v>8</v>
      </c>
      <c r="D30" s="2" t="s">
        <v>26</v>
      </c>
      <c r="E30" s="2" t="s">
        <v>17</v>
      </c>
      <c r="F30" s="5">
        <v>45679</v>
      </c>
      <c r="G30" s="191"/>
    </row>
    <row r="31" spans="1:26" x14ac:dyDescent="0.25">
      <c r="A31" s="2" t="s">
        <v>27</v>
      </c>
      <c r="B31" s="3">
        <v>40.58</v>
      </c>
      <c r="C31" s="2" t="s">
        <v>8</v>
      </c>
      <c r="D31" s="2" t="s">
        <v>22</v>
      </c>
      <c r="E31" s="2" t="s">
        <v>12</v>
      </c>
      <c r="F31" s="5">
        <v>45678</v>
      </c>
      <c r="G31" s="191" t="s">
        <v>303</v>
      </c>
    </row>
    <row r="32" spans="1:26" x14ac:dyDescent="0.25">
      <c r="A32" s="2" t="s">
        <v>28</v>
      </c>
      <c r="B32" s="3">
        <v>53.2</v>
      </c>
      <c r="C32" s="2" t="s">
        <v>8</v>
      </c>
      <c r="D32" s="2" t="s">
        <v>16</v>
      </c>
      <c r="E32" s="2" t="s">
        <v>12</v>
      </c>
      <c r="F32" s="5">
        <v>45677</v>
      </c>
      <c r="G32" s="31"/>
    </row>
    <row r="33" spans="1:7" x14ac:dyDescent="0.25">
      <c r="A33" s="2" t="s">
        <v>29</v>
      </c>
      <c r="B33" s="3">
        <v>178.09</v>
      </c>
      <c r="C33" s="2" t="s">
        <v>8</v>
      </c>
      <c r="D33" s="2" t="s">
        <v>22</v>
      </c>
      <c r="E33" s="2" t="s">
        <v>12</v>
      </c>
      <c r="F33" s="5">
        <v>45677</v>
      </c>
      <c r="G33" s="31"/>
    </row>
    <row r="34" spans="1:7" x14ac:dyDescent="0.25">
      <c r="A34" s="2" t="s">
        <v>30</v>
      </c>
      <c r="B34" s="3">
        <v>10.91</v>
      </c>
      <c r="C34" s="2" t="s">
        <v>8</v>
      </c>
      <c r="D34" s="2" t="s">
        <v>31</v>
      </c>
      <c r="E34" s="2" t="s">
        <v>17</v>
      </c>
      <c r="F34" s="5">
        <v>45675</v>
      </c>
      <c r="G34" s="31"/>
    </row>
    <row r="35" spans="1:7" x14ac:dyDescent="0.25">
      <c r="A35" s="2" t="s">
        <v>30</v>
      </c>
      <c r="B35" s="3">
        <v>11.98</v>
      </c>
      <c r="C35" s="2" t="s">
        <v>8</v>
      </c>
      <c r="D35" s="2" t="s">
        <v>31</v>
      </c>
      <c r="E35" s="2" t="s">
        <v>17</v>
      </c>
      <c r="F35" s="5">
        <v>45675</v>
      </c>
      <c r="G35" s="31"/>
    </row>
    <row r="36" spans="1:7" x14ac:dyDescent="0.25">
      <c r="A36" s="2" t="s">
        <v>32</v>
      </c>
      <c r="B36" s="3">
        <v>27.99</v>
      </c>
      <c r="C36" s="2" t="s">
        <v>8</v>
      </c>
      <c r="D36" s="2" t="s">
        <v>22</v>
      </c>
      <c r="E36" s="2" t="s">
        <v>12</v>
      </c>
      <c r="F36" s="5">
        <v>45675</v>
      </c>
      <c r="G36" s="31"/>
    </row>
    <row r="37" spans="1:7" x14ac:dyDescent="0.25">
      <c r="A37" s="2" t="s">
        <v>33</v>
      </c>
      <c r="B37" s="3">
        <v>19.899999999999999</v>
      </c>
      <c r="C37" s="2" t="s">
        <v>8</v>
      </c>
      <c r="D37" s="2" t="s">
        <v>20</v>
      </c>
      <c r="E37" s="2" t="s">
        <v>12</v>
      </c>
      <c r="F37" s="5">
        <v>45674</v>
      </c>
      <c r="G37" s="31"/>
    </row>
    <row r="38" spans="1:7" x14ac:dyDescent="0.25">
      <c r="A38" s="2" t="s">
        <v>34</v>
      </c>
      <c r="B38" s="3">
        <v>75</v>
      </c>
      <c r="C38" s="2" t="s">
        <v>8</v>
      </c>
      <c r="D38" s="2" t="s">
        <v>14</v>
      </c>
      <c r="E38" s="2" t="s">
        <v>12</v>
      </c>
      <c r="F38" s="5">
        <v>45674</v>
      </c>
      <c r="G38" s="191" t="s">
        <v>303</v>
      </c>
    </row>
    <row r="39" spans="1:7" x14ac:dyDescent="0.25">
      <c r="A39" s="2" t="s">
        <v>18</v>
      </c>
      <c r="B39" s="3">
        <v>29.3</v>
      </c>
      <c r="C39" s="2" t="s">
        <v>8</v>
      </c>
      <c r="D39" s="2" t="s">
        <v>16</v>
      </c>
      <c r="E39" s="2" t="s">
        <v>12</v>
      </c>
      <c r="F39" s="5">
        <v>45674</v>
      </c>
      <c r="G39" s="31"/>
    </row>
    <row r="40" spans="1:7" x14ac:dyDescent="0.25">
      <c r="A40" s="2" t="s">
        <v>35</v>
      </c>
      <c r="B40" s="3">
        <v>49</v>
      </c>
      <c r="C40" s="2" t="s">
        <v>8</v>
      </c>
      <c r="D40" s="2" t="s">
        <v>36</v>
      </c>
      <c r="E40" s="2" t="s">
        <v>12</v>
      </c>
      <c r="F40" s="5">
        <v>45673</v>
      </c>
      <c r="G40" s="31"/>
    </row>
    <row r="41" spans="1:7" x14ac:dyDescent="0.25">
      <c r="A41" s="2" t="s">
        <v>37</v>
      </c>
      <c r="B41" s="3">
        <v>110.24</v>
      </c>
      <c r="C41" s="2" t="s">
        <v>8</v>
      </c>
      <c r="D41" s="2" t="s">
        <v>22</v>
      </c>
      <c r="E41" s="4" t="s">
        <v>12</v>
      </c>
      <c r="F41" s="5">
        <v>45672</v>
      </c>
      <c r="G41" s="31"/>
    </row>
    <row r="42" spans="1:7" x14ac:dyDescent="0.25">
      <c r="A42" s="2" t="s">
        <v>38</v>
      </c>
      <c r="B42" s="3">
        <f>188.1/3</f>
        <v>62.699999999999996</v>
      </c>
      <c r="C42" s="2" t="s">
        <v>8</v>
      </c>
      <c r="D42" s="2" t="s">
        <v>14</v>
      </c>
      <c r="E42" s="4" t="s">
        <v>12</v>
      </c>
      <c r="F42" s="5">
        <v>45672</v>
      </c>
      <c r="G42" s="191" t="s">
        <v>303</v>
      </c>
    </row>
    <row r="43" spans="1:7" x14ac:dyDescent="0.25">
      <c r="A43" s="2" t="s">
        <v>39</v>
      </c>
      <c r="B43" s="3">
        <v>20.96</v>
      </c>
      <c r="C43" s="2" t="s">
        <v>8</v>
      </c>
      <c r="D43" s="2" t="s">
        <v>31</v>
      </c>
      <c r="E43" s="4" t="s">
        <v>12</v>
      </c>
      <c r="F43" s="5">
        <v>45671</v>
      </c>
      <c r="G43" s="191"/>
    </row>
    <row r="44" spans="1:7" x14ac:dyDescent="0.25">
      <c r="A44" s="2" t="s">
        <v>18</v>
      </c>
      <c r="B44" s="3">
        <v>30.99</v>
      </c>
      <c r="C44" s="2" t="s">
        <v>8</v>
      </c>
      <c r="D44" s="2" t="s">
        <v>16</v>
      </c>
      <c r="E44" s="4" t="s">
        <v>12</v>
      </c>
      <c r="F44" s="5">
        <v>45664</v>
      </c>
      <c r="G44" s="31"/>
    </row>
    <row r="45" spans="1:7" x14ac:dyDescent="0.25">
      <c r="A45" s="2" t="s">
        <v>40</v>
      </c>
      <c r="B45" s="3">
        <v>117</v>
      </c>
      <c r="C45" s="2" t="s">
        <v>8</v>
      </c>
      <c r="D45" s="2" t="s">
        <v>11</v>
      </c>
      <c r="E45" s="4" t="s">
        <v>12</v>
      </c>
      <c r="F45" s="5">
        <v>45671</v>
      </c>
      <c r="G45" s="31"/>
    </row>
    <row r="46" spans="1:7" x14ac:dyDescent="0.25">
      <c r="A46" s="2" t="s">
        <v>39</v>
      </c>
      <c r="B46" s="3">
        <v>18.7</v>
      </c>
      <c r="C46" s="2" t="s">
        <v>8</v>
      </c>
      <c r="D46" s="2" t="s">
        <v>31</v>
      </c>
      <c r="E46" s="4" t="s">
        <v>12</v>
      </c>
      <c r="F46" s="5">
        <v>45671</v>
      </c>
      <c r="G46" s="31"/>
    </row>
    <row r="47" spans="1:7" x14ac:dyDescent="0.25">
      <c r="A47" s="2" t="s">
        <v>41</v>
      </c>
      <c r="B47" s="3">
        <v>37.630000000000003</v>
      </c>
      <c r="C47" s="2" t="s">
        <v>8</v>
      </c>
      <c r="D47" s="2" t="s">
        <v>22</v>
      </c>
      <c r="E47" s="4" t="s">
        <v>12</v>
      </c>
      <c r="F47" s="5">
        <v>45670</v>
      </c>
      <c r="G47" s="191"/>
    </row>
    <row r="48" spans="1:7" ht="15.75" customHeight="1" x14ac:dyDescent="0.25">
      <c r="A48" s="2" t="s">
        <v>42</v>
      </c>
      <c r="B48" s="3">
        <f>371.02/2</f>
        <v>185.51</v>
      </c>
      <c r="C48" s="2" t="s">
        <v>8</v>
      </c>
      <c r="D48" s="2" t="s">
        <v>22</v>
      </c>
      <c r="E48" s="4" t="s">
        <v>12</v>
      </c>
      <c r="F48" s="5">
        <v>45670</v>
      </c>
      <c r="G48" s="191" t="s">
        <v>397</v>
      </c>
    </row>
    <row r="49" spans="1:7" ht="15.75" customHeight="1" x14ac:dyDescent="0.25">
      <c r="A49" s="2" t="s">
        <v>43</v>
      </c>
      <c r="B49" s="3">
        <v>267.76</v>
      </c>
      <c r="C49" s="2" t="s">
        <v>8</v>
      </c>
      <c r="D49" s="2" t="s">
        <v>31</v>
      </c>
      <c r="E49" s="4" t="s">
        <v>12</v>
      </c>
      <c r="F49" s="5">
        <v>45670</v>
      </c>
      <c r="G49" s="31"/>
    </row>
    <row r="50" spans="1:7" ht="15.75" customHeight="1" x14ac:dyDescent="0.25">
      <c r="A50" s="2" t="s">
        <v>44</v>
      </c>
      <c r="B50" s="3">
        <v>69.95</v>
      </c>
      <c r="C50" s="2" t="s">
        <v>8</v>
      </c>
      <c r="D50" s="2" t="s">
        <v>22</v>
      </c>
      <c r="E50" s="4" t="s">
        <v>12</v>
      </c>
      <c r="F50" s="5">
        <v>45669</v>
      </c>
      <c r="G50" s="191" t="s">
        <v>397</v>
      </c>
    </row>
    <row r="51" spans="1:7" ht="15.75" customHeight="1" x14ac:dyDescent="0.25">
      <c r="A51" s="2" t="s">
        <v>45</v>
      </c>
      <c r="B51" s="3">
        <v>79.8</v>
      </c>
      <c r="C51" s="2" t="s">
        <v>8</v>
      </c>
      <c r="D51" s="2" t="s">
        <v>22</v>
      </c>
      <c r="E51" s="4" t="s">
        <v>12</v>
      </c>
      <c r="F51" s="5">
        <v>45669</v>
      </c>
      <c r="G51" s="191"/>
    </row>
    <row r="52" spans="1:7" ht="15.75" customHeight="1" x14ac:dyDescent="0.25">
      <c r="A52" s="2" t="s">
        <v>46</v>
      </c>
      <c r="B52" s="3">
        <v>79</v>
      </c>
      <c r="C52" s="2" t="s">
        <v>8</v>
      </c>
      <c r="D52" s="2" t="s">
        <v>22</v>
      </c>
      <c r="E52" s="4" t="s">
        <v>12</v>
      </c>
      <c r="F52" s="5">
        <v>45669</v>
      </c>
      <c r="G52" s="31"/>
    </row>
    <row r="53" spans="1:7" ht="15.75" customHeight="1" x14ac:dyDescent="0.25">
      <c r="A53" s="2" t="s">
        <v>47</v>
      </c>
      <c r="B53" s="3">
        <v>29.99</v>
      </c>
      <c r="C53" s="2" t="s">
        <v>8</v>
      </c>
      <c r="D53" s="2" t="s">
        <v>22</v>
      </c>
      <c r="E53" s="4" t="s">
        <v>12</v>
      </c>
      <c r="F53" s="5">
        <v>45669</v>
      </c>
      <c r="G53" s="31"/>
    </row>
    <row r="54" spans="1:7" ht="15.75" customHeight="1" x14ac:dyDescent="0.25">
      <c r="A54" s="2" t="s">
        <v>48</v>
      </c>
      <c r="B54" s="3">
        <v>68.8</v>
      </c>
      <c r="C54" s="2" t="s">
        <v>8</v>
      </c>
      <c r="D54" s="2" t="s">
        <v>22</v>
      </c>
      <c r="E54" s="4" t="s">
        <v>12</v>
      </c>
      <c r="F54" s="5">
        <v>45668</v>
      </c>
      <c r="G54" s="191" t="s">
        <v>294</v>
      </c>
    </row>
    <row r="55" spans="1:7" ht="15.75" customHeight="1" x14ac:dyDescent="0.25">
      <c r="A55" s="2" t="s">
        <v>49</v>
      </c>
      <c r="B55" s="3">
        <v>11.9</v>
      </c>
      <c r="C55" s="2" t="s">
        <v>8</v>
      </c>
      <c r="D55" s="2" t="s">
        <v>14</v>
      </c>
      <c r="E55" s="4" t="s">
        <v>12</v>
      </c>
      <c r="F55" s="5">
        <v>45667</v>
      </c>
      <c r="G55" s="27"/>
    </row>
    <row r="56" spans="1:7" ht="15.75" customHeight="1" x14ac:dyDescent="0.25">
      <c r="A56" s="2" t="s">
        <v>50</v>
      </c>
      <c r="B56" s="3">
        <v>81.78</v>
      </c>
      <c r="C56" s="2" t="s">
        <v>8</v>
      </c>
      <c r="D56" s="2" t="s">
        <v>22</v>
      </c>
      <c r="E56" s="4" t="s">
        <v>12</v>
      </c>
      <c r="F56" s="5">
        <v>45667</v>
      </c>
      <c r="G56" s="27"/>
    </row>
    <row r="57" spans="1:7" ht="15.75" customHeight="1" x14ac:dyDescent="0.25">
      <c r="A57" s="2" t="s">
        <v>51</v>
      </c>
      <c r="B57" s="3">
        <v>2</v>
      </c>
      <c r="C57" s="2" t="s">
        <v>8</v>
      </c>
      <c r="D57" s="2" t="s">
        <v>11</v>
      </c>
      <c r="E57" s="4" t="s">
        <v>12</v>
      </c>
      <c r="F57" s="5">
        <v>45667</v>
      </c>
      <c r="G57" s="27"/>
    </row>
    <row r="58" spans="1:7" ht="15.75" customHeight="1" x14ac:dyDescent="0.25">
      <c r="A58" s="2" t="s">
        <v>52</v>
      </c>
      <c r="B58" s="3">
        <v>111.96</v>
      </c>
      <c r="C58" s="2" t="s">
        <v>8</v>
      </c>
      <c r="D58" s="2" t="s">
        <v>11</v>
      </c>
      <c r="E58" s="4" t="s">
        <v>12</v>
      </c>
      <c r="F58" s="5">
        <v>45666</v>
      </c>
      <c r="G58" s="27"/>
    </row>
    <row r="59" spans="1:7" ht="15.75" customHeight="1" x14ac:dyDescent="0.25">
      <c r="A59" s="2" t="s">
        <v>53</v>
      </c>
      <c r="B59" s="3">
        <v>102.46</v>
      </c>
      <c r="C59" s="2" t="s">
        <v>8</v>
      </c>
      <c r="D59" s="2" t="s">
        <v>22</v>
      </c>
      <c r="E59" s="4" t="s">
        <v>12</v>
      </c>
      <c r="F59" s="5">
        <v>45663</v>
      </c>
      <c r="G59" s="191" t="s">
        <v>303</v>
      </c>
    </row>
    <row r="60" spans="1:7" ht="15.75" customHeight="1" x14ac:dyDescent="0.25">
      <c r="A60" s="2" t="s">
        <v>54</v>
      </c>
      <c r="B60" s="3">
        <v>95.62</v>
      </c>
      <c r="C60" s="2" t="s">
        <v>8</v>
      </c>
      <c r="D60" s="2" t="s">
        <v>14</v>
      </c>
      <c r="E60" s="4" t="s">
        <v>12</v>
      </c>
      <c r="F60" s="5">
        <v>45663</v>
      </c>
      <c r="G60" s="191" t="s">
        <v>299</v>
      </c>
    </row>
    <row r="61" spans="1:7" ht="15.75" customHeight="1" x14ac:dyDescent="0.25">
      <c r="A61" s="2" t="s">
        <v>18</v>
      </c>
      <c r="B61" s="3">
        <v>20.99</v>
      </c>
      <c r="C61" s="2" t="s">
        <v>8</v>
      </c>
      <c r="D61" s="2" t="s">
        <v>16</v>
      </c>
      <c r="E61" s="4" t="s">
        <v>12</v>
      </c>
      <c r="F61" s="5">
        <v>45663</v>
      </c>
      <c r="G61" s="27"/>
    </row>
    <row r="62" spans="1:7" ht="15.75" customHeight="1" x14ac:dyDescent="0.25">
      <c r="A62" s="2" t="s">
        <v>53</v>
      </c>
      <c r="B62" s="3">
        <v>91.19</v>
      </c>
      <c r="C62" s="2" t="s">
        <v>8</v>
      </c>
      <c r="D62" s="2" t="s">
        <v>22</v>
      </c>
      <c r="E62" s="4" t="s">
        <v>12</v>
      </c>
      <c r="F62" s="5">
        <v>45663</v>
      </c>
      <c r="G62" s="191" t="s">
        <v>303</v>
      </c>
    </row>
    <row r="63" spans="1:7" ht="15.75" customHeight="1" x14ac:dyDescent="0.25">
      <c r="A63" s="2" t="s">
        <v>55</v>
      </c>
      <c r="B63" s="3">
        <v>36.22</v>
      </c>
      <c r="C63" s="2" t="s">
        <v>8</v>
      </c>
      <c r="D63" s="2" t="s">
        <v>11</v>
      </c>
      <c r="E63" s="4" t="s">
        <v>12</v>
      </c>
      <c r="F63" s="5">
        <v>45663</v>
      </c>
      <c r="G63" s="27"/>
    </row>
    <row r="64" spans="1:7" ht="15.75" customHeight="1" x14ac:dyDescent="0.25">
      <c r="A64" s="2" t="s">
        <v>56</v>
      </c>
      <c r="B64" s="3">
        <v>81.819999999999993</v>
      </c>
      <c r="C64" s="2" t="s">
        <v>8</v>
      </c>
      <c r="D64" s="2" t="s">
        <v>16</v>
      </c>
      <c r="E64" s="4" t="s">
        <v>12</v>
      </c>
      <c r="F64" s="5">
        <v>45662</v>
      </c>
      <c r="G64" s="191" t="s">
        <v>303</v>
      </c>
    </row>
    <row r="65" spans="1:7" ht="15.75" customHeight="1" x14ac:dyDescent="0.25">
      <c r="A65" s="2" t="s">
        <v>128</v>
      </c>
      <c r="B65" s="3">
        <v>20</v>
      </c>
      <c r="C65" s="2" t="s">
        <v>8</v>
      </c>
      <c r="D65" s="2" t="s">
        <v>63</v>
      </c>
      <c r="E65" s="8" t="s">
        <v>12</v>
      </c>
      <c r="F65" s="5">
        <v>45662</v>
      </c>
      <c r="G65" s="27"/>
    </row>
    <row r="66" spans="1:7" ht="15.75" customHeight="1" x14ac:dyDescent="0.25">
      <c r="A66" s="2" t="s">
        <v>121</v>
      </c>
      <c r="B66" s="3">
        <v>1948.26</v>
      </c>
      <c r="C66" s="2" t="s">
        <v>72</v>
      </c>
      <c r="D66" s="2" t="s">
        <v>73</v>
      </c>
      <c r="E66" s="8" t="s">
        <v>12</v>
      </c>
      <c r="F66" s="5">
        <v>45658</v>
      </c>
      <c r="G66" s="27"/>
    </row>
    <row r="67" spans="1:7" ht="15.75" customHeight="1" x14ac:dyDescent="0.25">
      <c r="A67" s="2" t="s">
        <v>57</v>
      </c>
      <c r="B67" s="3">
        <v>9.9</v>
      </c>
      <c r="C67" s="2" t="s">
        <v>8</v>
      </c>
      <c r="D67" s="2" t="s">
        <v>22</v>
      </c>
      <c r="E67" s="4" t="s">
        <v>12</v>
      </c>
      <c r="F67" s="5">
        <v>45660</v>
      </c>
      <c r="G67" s="27"/>
    </row>
    <row r="68" spans="1:7" ht="15.75" customHeight="1" x14ac:dyDescent="0.25">
      <c r="A68" s="2" t="s">
        <v>58</v>
      </c>
      <c r="B68" s="3">
        <v>37</v>
      </c>
      <c r="C68" s="2" t="s">
        <v>8</v>
      </c>
      <c r="D68" s="2" t="s">
        <v>22</v>
      </c>
      <c r="E68" s="4" t="s">
        <v>12</v>
      </c>
      <c r="F68" s="5">
        <v>45660</v>
      </c>
      <c r="G68" s="191"/>
    </row>
    <row r="69" spans="1:7" ht="15.75" customHeight="1" x14ac:dyDescent="0.25">
      <c r="A69" s="2" t="s">
        <v>59</v>
      </c>
      <c r="B69" s="3">
        <v>99.9</v>
      </c>
      <c r="C69" s="2" t="s">
        <v>8</v>
      </c>
      <c r="D69" s="2" t="s">
        <v>22</v>
      </c>
      <c r="E69" s="4" t="s">
        <v>12</v>
      </c>
      <c r="F69" s="5">
        <v>45660</v>
      </c>
      <c r="G69" s="191"/>
    </row>
    <row r="70" spans="1:7" ht="15.75" customHeight="1" x14ac:dyDescent="0.25">
      <c r="A70" s="2" t="s">
        <v>60</v>
      </c>
      <c r="B70" s="3">
        <v>272</v>
      </c>
      <c r="C70" s="2" t="s">
        <v>8</v>
      </c>
      <c r="D70" s="2" t="s">
        <v>61</v>
      </c>
      <c r="E70" s="4" t="s">
        <v>12</v>
      </c>
      <c r="F70" s="5">
        <v>45660</v>
      </c>
      <c r="G70" s="27"/>
    </row>
    <row r="71" spans="1:7" ht="15.75" customHeight="1" x14ac:dyDescent="0.25">
      <c r="A71" s="2" t="s">
        <v>62</v>
      </c>
      <c r="B71" s="3">
        <v>400</v>
      </c>
      <c r="C71" s="2" t="s">
        <v>8</v>
      </c>
      <c r="D71" s="2" t="s">
        <v>63</v>
      </c>
      <c r="E71" s="4" t="s">
        <v>12</v>
      </c>
      <c r="F71" s="5">
        <v>45660</v>
      </c>
      <c r="G71" s="27"/>
    </row>
    <row r="72" spans="1:7" ht="15.75" customHeight="1" x14ac:dyDescent="0.25">
      <c r="A72" s="2" t="s">
        <v>64</v>
      </c>
      <c r="B72" s="3">
        <v>0</v>
      </c>
      <c r="C72" s="2" t="s">
        <v>8</v>
      </c>
      <c r="D72" s="2" t="s">
        <v>61</v>
      </c>
      <c r="E72" s="4" t="s">
        <v>17</v>
      </c>
      <c r="F72" s="5">
        <v>45662</v>
      </c>
      <c r="G72" s="27"/>
    </row>
    <row r="73" spans="1:7" ht="15.75" customHeight="1" x14ac:dyDescent="0.25">
      <c r="A73" s="2" t="s">
        <v>65</v>
      </c>
      <c r="B73" s="3">
        <v>132.31</v>
      </c>
      <c r="C73" s="2" t="s">
        <v>8</v>
      </c>
      <c r="D73" s="2" t="s">
        <v>61</v>
      </c>
      <c r="E73" s="4" t="s">
        <v>12</v>
      </c>
      <c r="F73" s="5">
        <v>45664</v>
      </c>
      <c r="G73" s="27"/>
    </row>
    <row r="74" spans="1:7" ht="15.75" customHeight="1" x14ac:dyDescent="0.25">
      <c r="A74" s="2" t="s">
        <v>66</v>
      </c>
      <c r="B74" s="3">
        <v>150</v>
      </c>
      <c r="C74" s="2" t="s">
        <v>8</v>
      </c>
      <c r="D74" s="2" t="s">
        <v>63</v>
      </c>
      <c r="E74" s="4" t="s">
        <v>17</v>
      </c>
      <c r="F74" s="5">
        <v>45667</v>
      </c>
      <c r="G74" s="27"/>
    </row>
    <row r="75" spans="1:7" ht="15.75" customHeight="1" x14ac:dyDescent="0.25">
      <c r="A75" s="2" t="s">
        <v>67</v>
      </c>
      <c r="B75" s="3">
        <v>288</v>
      </c>
      <c r="C75" s="2" t="s">
        <v>8</v>
      </c>
      <c r="D75" s="2" t="s">
        <v>68</v>
      </c>
      <c r="E75" s="4" t="s">
        <v>12</v>
      </c>
      <c r="F75" s="5">
        <v>45670</v>
      </c>
      <c r="G75" s="27"/>
    </row>
    <row r="76" spans="1:7" ht="15.75" customHeight="1" x14ac:dyDescent="0.25">
      <c r="A76" s="2" t="s">
        <v>69</v>
      </c>
      <c r="B76" s="3">
        <v>5351.65</v>
      </c>
      <c r="C76" s="2" t="s">
        <v>8</v>
      </c>
      <c r="D76" s="2" t="s">
        <v>70</v>
      </c>
      <c r="E76" s="4" t="s">
        <v>12</v>
      </c>
      <c r="F76" s="5">
        <v>45672</v>
      </c>
      <c r="G76" s="27"/>
    </row>
    <row r="77" spans="1:7" ht="15.75" customHeight="1" x14ac:dyDescent="0.25">
      <c r="A77" s="2" t="s">
        <v>71</v>
      </c>
      <c r="B77" s="3">
        <v>5055.2</v>
      </c>
      <c r="C77" s="2" t="s">
        <v>72</v>
      </c>
      <c r="D77" s="2" t="s">
        <v>73</v>
      </c>
      <c r="E77" s="4" t="s">
        <v>17</v>
      </c>
      <c r="F77" s="5">
        <v>45672</v>
      </c>
      <c r="G77" s="27"/>
    </row>
    <row r="78" spans="1:7" ht="15.75" customHeight="1" x14ac:dyDescent="0.25">
      <c r="A78" s="2" t="s">
        <v>74</v>
      </c>
      <c r="B78" s="3">
        <v>5710.37</v>
      </c>
      <c r="C78" s="2" t="s">
        <v>72</v>
      </c>
      <c r="D78" s="2" t="s">
        <v>73</v>
      </c>
      <c r="E78" s="4" t="s">
        <v>12</v>
      </c>
      <c r="F78" s="5">
        <v>45672</v>
      </c>
      <c r="G78" s="27"/>
    </row>
    <row r="79" spans="1:7" ht="15.75" customHeight="1" x14ac:dyDescent="0.25">
      <c r="A79" s="2" t="s">
        <v>75</v>
      </c>
      <c r="B79" s="3">
        <v>60</v>
      </c>
      <c r="C79" s="2" t="s">
        <v>8</v>
      </c>
      <c r="D79" s="2" t="s">
        <v>63</v>
      </c>
      <c r="E79" s="4" t="s">
        <v>12</v>
      </c>
      <c r="F79" s="5">
        <v>45675</v>
      </c>
      <c r="G79" s="27"/>
    </row>
    <row r="80" spans="1:7" ht="15.75" customHeight="1" x14ac:dyDescent="0.25">
      <c r="A80" s="2" t="s">
        <v>76</v>
      </c>
      <c r="B80" s="3">
        <v>100</v>
      </c>
      <c r="C80" s="2" t="s">
        <v>8</v>
      </c>
      <c r="D80" s="2" t="s">
        <v>63</v>
      </c>
      <c r="E80" s="4" t="s">
        <v>12</v>
      </c>
      <c r="F80" s="5">
        <v>45682</v>
      </c>
      <c r="G80" s="27"/>
    </row>
    <row r="81" spans="1:7" ht="15.75" customHeight="1" x14ac:dyDescent="0.25">
      <c r="A81" s="2" t="s">
        <v>77</v>
      </c>
      <c r="B81" s="3">
        <v>49.9</v>
      </c>
      <c r="C81" s="2" t="s">
        <v>8</v>
      </c>
      <c r="D81" s="2" t="s">
        <v>20</v>
      </c>
      <c r="E81" s="4" t="s">
        <v>12</v>
      </c>
      <c r="F81" s="5">
        <v>45682</v>
      </c>
      <c r="G81" s="27"/>
    </row>
    <row r="82" spans="1:7" ht="15.75" customHeight="1" x14ac:dyDescent="0.25">
      <c r="A82" s="2" t="s">
        <v>78</v>
      </c>
      <c r="B82" s="3">
        <v>16.899999999999999</v>
      </c>
      <c r="C82" s="2" t="s">
        <v>8</v>
      </c>
      <c r="D82" s="2" t="s">
        <v>20</v>
      </c>
      <c r="E82" s="4" t="s">
        <v>12</v>
      </c>
      <c r="F82" s="5">
        <v>45685</v>
      </c>
      <c r="G82" s="27"/>
    </row>
    <row r="83" spans="1:7" ht="15.75" customHeight="1" x14ac:dyDescent="0.25">
      <c r="A83" s="2" t="s">
        <v>79</v>
      </c>
      <c r="B83" s="3">
        <v>1698.46</v>
      </c>
      <c r="C83" s="2" t="s">
        <v>8</v>
      </c>
      <c r="D83" s="2" t="s">
        <v>68</v>
      </c>
      <c r="E83" s="4" t="s">
        <v>12</v>
      </c>
      <c r="F83" s="5">
        <v>45687</v>
      </c>
      <c r="G83" s="27"/>
    </row>
    <row r="84" spans="1:7" ht="15.75" customHeight="1" x14ac:dyDescent="0.25">
      <c r="A84" s="2" t="s">
        <v>80</v>
      </c>
      <c r="B84" s="3">
        <v>604.1</v>
      </c>
      <c r="C84" s="2" t="s">
        <v>8</v>
      </c>
      <c r="D84" s="2" t="s">
        <v>68</v>
      </c>
      <c r="E84" s="4" t="s">
        <v>12</v>
      </c>
      <c r="F84" s="5">
        <v>45687</v>
      </c>
      <c r="G84" s="27"/>
    </row>
    <row r="85" spans="1:7" ht="15.75" customHeight="1" x14ac:dyDescent="0.25">
      <c r="A85" s="2" t="s">
        <v>81</v>
      </c>
      <c r="B85" s="3">
        <v>113.7</v>
      </c>
      <c r="C85" s="2" t="s">
        <v>8</v>
      </c>
      <c r="D85" s="2" t="s">
        <v>68</v>
      </c>
      <c r="E85" s="4" t="s">
        <v>12</v>
      </c>
      <c r="F85" s="5">
        <v>45687</v>
      </c>
      <c r="G85" s="27"/>
    </row>
    <row r="86" spans="1:7" ht="15.75" customHeight="1" x14ac:dyDescent="0.25">
      <c r="A86" s="2" t="s">
        <v>82</v>
      </c>
      <c r="B86" s="3">
        <v>50</v>
      </c>
      <c r="C86" s="2" t="s">
        <v>8</v>
      </c>
      <c r="D86" s="2" t="s">
        <v>68</v>
      </c>
      <c r="E86" s="4" t="s">
        <v>12</v>
      </c>
      <c r="F86" s="5">
        <v>45687</v>
      </c>
      <c r="G86" s="27"/>
    </row>
    <row r="87" spans="1:7" ht="15.75" customHeight="1" x14ac:dyDescent="0.25">
      <c r="A87" s="2" t="s">
        <v>83</v>
      </c>
      <c r="B87" s="3">
        <v>3165.27</v>
      </c>
      <c r="C87" s="2" t="s">
        <v>72</v>
      </c>
      <c r="D87" s="2" t="s">
        <v>73</v>
      </c>
      <c r="E87" s="4" t="s">
        <v>12</v>
      </c>
      <c r="F87" s="5">
        <v>45687</v>
      </c>
      <c r="G87" s="27"/>
    </row>
    <row r="88" spans="1:7" ht="15.75" customHeight="1" x14ac:dyDescent="0.25">
      <c r="A88" s="2" t="s">
        <v>84</v>
      </c>
      <c r="B88" s="3">
        <v>3893.29</v>
      </c>
      <c r="C88" s="2" t="s">
        <v>72</v>
      </c>
      <c r="D88" s="2" t="s">
        <v>73</v>
      </c>
      <c r="E88" s="4" t="s">
        <v>17</v>
      </c>
      <c r="F88" s="5">
        <v>45687</v>
      </c>
      <c r="G88" s="27"/>
    </row>
    <row r="89" spans="1:7" ht="15.75" customHeight="1" x14ac:dyDescent="0.25">
      <c r="A89" s="2" t="s">
        <v>85</v>
      </c>
      <c r="B89" s="2">
        <v>25.9</v>
      </c>
      <c r="C89" s="2" t="s">
        <v>8</v>
      </c>
      <c r="D89" s="2" t="s">
        <v>20</v>
      </c>
      <c r="E89" s="4" t="s">
        <v>12</v>
      </c>
      <c r="F89" s="5">
        <v>45430</v>
      </c>
      <c r="G89" s="27"/>
    </row>
    <row r="90" spans="1:7" ht="15.75" customHeight="1" x14ac:dyDescent="0.25">
      <c r="A90" s="2" t="s">
        <v>86</v>
      </c>
      <c r="B90" s="3">
        <v>64.09</v>
      </c>
      <c r="C90" s="2" t="s">
        <v>8</v>
      </c>
      <c r="D90" s="2" t="s">
        <v>14</v>
      </c>
      <c r="E90" s="2" t="s">
        <v>12</v>
      </c>
      <c r="F90" s="5">
        <v>45597</v>
      </c>
      <c r="G90" s="191" t="s">
        <v>305</v>
      </c>
    </row>
    <row r="91" spans="1:7" ht="15.75" customHeight="1" x14ac:dyDescent="0.25">
      <c r="A91" s="2" t="s">
        <v>87</v>
      </c>
      <c r="B91" s="2">
        <v>65.95</v>
      </c>
      <c r="C91" s="2" t="s">
        <v>8</v>
      </c>
      <c r="D91" s="2" t="s">
        <v>14</v>
      </c>
      <c r="E91" s="2" t="s">
        <v>12</v>
      </c>
      <c r="F91" s="5">
        <v>45599</v>
      </c>
      <c r="G91" s="191" t="s">
        <v>305</v>
      </c>
    </row>
    <row r="92" spans="1:7" ht="15.75" customHeight="1" x14ac:dyDescent="0.25">
      <c r="A92" s="2" t="s">
        <v>88</v>
      </c>
      <c r="B92" s="2">
        <v>111.56</v>
      </c>
      <c r="C92" s="2" t="s">
        <v>8</v>
      </c>
      <c r="D92" s="2" t="s">
        <v>14</v>
      </c>
      <c r="E92" s="2" t="s">
        <v>12</v>
      </c>
      <c r="F92" s="5">
        <v>45606</v>
      </c>
      <c r="G92" s="191" t="s">
        <v>305</v>
      </c>
    </row>
    <row r="93" spans="1:7" ht="15.75" customHeight="1" x14ac:dyDescent="0.25">
      <c r="A93" s="2" t="s">
        <v>89</v>
      </c>
      <c r="B93" s="2">
        <v>99.9</v>
      </c>
      <c r="C93" s="2" t="s">
        <v>8</v>
      </c>
      <c r="D93" s="2" t="s">
        <v>22</v>
      </c>
      <c r="E93" s="2" t="s">
        <v>12</v>
      </c>
      <c r="F93" s="5">
        <v>45606</v>
      </c>
      <c r="G93" s="191" t="s">
        <v>305</v>
      </c>
    </row>
    <row r="94" spans="1:7" ht="15.75" customHeight="1" x14ac:dyDescent="0.25">
      <c r="A94" s="2" t="s">
        <v>90</v>
      </c>
      <c r="B94" s="2">
        <v>57.76</v>
      </c>
      <c r="C94" s="2" t="s">
        <v>8</v>
      </c>
      <c r="D94" s="2" t="s">
        <v>11</v>
      </c>
      <c r="E94" s="2" t="s">
        <v>12</v>
      </c>
      <c r="F94" s="5">
        <v>45607</v>
      </c>
      <c r="G94" s="191" t="s">
        <v>305</v>
      </c>
    </row>
    <row r="95" spans="1:7" ht="15.75" customHeight="1" x14ac:dyDescent="0.25">
      <c r="A95" s="2" t="s">
        <v>91</v>
      </c>
      <c r="B95" s="2">
        <v>69.5</v>
      </c>
      <c r="C95" s="2" t="s">
        <v>8</v>
      </c>
      <c r="D95" s="2" t="s">
        <v>22</v>
      </c>
      <c r="E95" s="2" t="s">
        <v>12</v>
      </c>
      <c r="F95" s="5">
        <v>45613</v>
      </c>
      <c r="G95" s="191" t="s">
        <v>305</v>
      </c>
    </row>
    <row r="96" spans="1:7" ht="15.75" customHeight="1" x14ac:dyDescent="0.25">
      <c r="A96" s="2" t="s">
        <v>92</v>
      </c>
      <c r="B96" s="2">
        <v>53.98</v>
      </c>
      <c r="C96" s="2" t="s">
        <v>8</v>
      </c>
      <c r="D96" s="2" t="s">
        <v>22</v>
      </c>
      <c r="E96" s="2" t="s">
        <v>12</v>
      </c>
      <c r="F96" s="5">
        <v>45616</v>
      </c>
      <c r="G96" s="191" t="s">
        <v>305</v>
      </c>
    </row>
    <row r="97" spans="1:7" ht="15.75" customHeight="1" x14ac:dyDescent="0.25">
      <c r="A97" s="2" t="s">
        <v>93</v>
      </c>
      <c r="B97" s="2">
        <v>75.900000000000006</v>
      </c>
      <c r="C97" s="2" t="s">
        <v>8</v>
      </c>
      <c r="D97" s="2" t="s">
        <v>16</v>
      </c>
      <c r="E97" s="2" t="s">
        <v>12</v>
      </c>
      <c r="F97" s="5">
        <v>45621</v>
      </c>
      <c r="G97" s="191" t="s">
        <v>305</v>
      </c>
    </row>
    <row r="98" spans="1:7" ht="15.75" customHeight="1" x14ac:dyDescent="0.25">
      <c r="A98" s="2" t="s">
        <v>94</v>
      </c>
      <c r="B98" s="2">
        <v>105.82</v>
      </c>
      <c r="C98" s="2" t="s">
        <v>8</v>
      </c>
      <c r="D98" s="2" t="s">
        <v>14</v>
      </c>
      <c r="E98" s="2" t="s">
        <v>12</v>
      </c>
      <c r="F98" s="5">
        <v>45627</v>
      </c>
      <c r="G98" s="191" t="s">
        <v>304</v>
      </c>
    </row>
    <row r="99" spans="1:7" ht="15.75" customHeight="1" x14ac:dyDescent="0.25">
      <c r="A99" s="2" t="s">
        <v>95</v>
      </c>
      <c r="B99" s="3">
        <f>877.5/12</f>
        <v>73.125</v>
      </c>
      <c r="C99" s="2" t="s">
        <v>8</v>
      </c>
      <c r="D99" s="2" t="s">
        <v>16</v>
      </c>
      <c r="E99" s="4" t="s">
        <v>12</v>
      </c>
      <c r="F99" s="5">
        <v>45629</v>
      </c>
      <c r="G99" s="191" t="s">
        <v>295</v>
      </c>
    </row>
    <row r="100" spans="1:7" ht="15.75" customHeight="1" x14ac:dyDescent="0.25">
      <c r="A100" s="2" t="s">
        <v>96</v>
      </c>
      <c r="B100" s="2">
        <v>24.35</v>
      </c>
      <c r="C100" s="2" t="s">
        <v>8</v>
      </c>
      <c r="D100" s="2" t="s">
        <v>22</v>
      </c>
      <c r="E100" s="2" t="s">
        <v>17</v>
      </c>
      <c r="F100" s="5">
        <v>45631</v>
      </c>
      <c r="G100" s="191" t="s">
        <v>327</v>
      </c>
    </row>
    <row r="101" spans="1:7" ht="15.75" customHeight="1" x14ac:dyDescent="0.25">
      <c r="A101" s="2" t="s">
        <v>97</v>
      </c>
      <c r="B101" s="2">
        <v>46.61</v>
      </c>
      <c r="C101" s="2" t="s">
        <v>8</v>
      </c>
      <c r="D101" s="2" t="s">
        <v>22</v>
      </c>
      <c r="E101" s="2" t="s">
        <v>12</v>
      </c>
      <c r="F101" s="5">
        <v>45657</v>
      </c>
      <c r="G101" s="191" t="s">
        <v>307</v>
      </c>
    </row>
    <row r="102" spans="1:7" ht="15.75" customHeight="1" x14ac:dyDescent="0.25">
      <c r="A102" s="2" t="s">
        <v>98</v>
      </c>
      <c r="B102" s="3">
        <v>41.1</v>
      </c>
      <c r="C102" s="2" t="s">
        <v>8</v>
      </c>
      <c r="D102" s="2" t="s">
        <v>22</v>
      </c>
      <c r="E102" s="2" t="s">
        <v>12</v>
      </c>
      <c r="F102" s="5">
        <v>45657</v>
      </c>
      <c r="G102" s="191" t="s">
        <v>304</v>
      </c>
    </row>
    <row r="103" spans="1:7" ht="15.75" customHeight="1" x14ac:dyDescent="0.25">
      <c r="A103" s="2" t="s">
        <v>99</v>
      </c>
      <c r="B103" s="3">
        <v>54.3</v>
      </c>
      <c r="C103" s="2" t="s">
        <v>8</v>
      </c>
      <c r="D103" s="2" t="s">
        <v>14</v>
      </c>
      <c r="E103" s="2" t="s">
        <v>12</v>
      </c>
      <c r="F103" s="5">
        <v>45657</v>
      </c>
      <c r="G103" s="191" t="s">
        <v>304</v>
      </c>
    </row>
    <row r="104" spans="1:7" ht="15.75" customHeight="1" x14ac:dyDescent="0.25">
      <c r="A104" s="2" t="s">
        <v>100</v>
      </c>
      <c r="B104" s="3">
        <v>65</v>
      </c>
      <c r="C104" s="2" t="s">
        <v>8</v>
      </c>
      <c r="D104" s="2" t="s">
        <v>22</v>
      </c>
      <c r="E104" s="4" t="s">
        <v>12</v>
      </c>
      <c r="F104" s="5">
        <v>45639</v>
      </c>
      <c r="G104" s="191" t="s">
        <v>327</v>
      </c>
    </row>
    <row r="105" spans="1:7" ht="15.75" customHeight="1" x14ac:dyDescent="0.25">
      <c r="A105" s="2" t="s">
        <v>101</v>
      </c>
      <c r="B105" s="3">
        <v>41.42</v>
      </c>
      <c r="C105" s="2" t="s">
        <v>8</v>
      </c>
      <c r="D105" s="2" t="s">
        <v>22</v>
      </c>
      <c r="E105" s="4" t="s">
        <v>12</v>
      </c>
      <c r="F105" s="5">
        <v>45646</v>
      </c>
      <c r="G105" s="191" t="s">
        <v>295</v>
      </c>
    </row>
    <row r="106" spans="1:7" ht="15.75" customHeight="1" x14ac:dyDescent="0.25">
      <c r="A106" s="2" t="s">
        <v>102</v>
      </c>
      <c r="B106" s="3">
        <v>90.9</v>
      </c>
      <c r="C106" s="2" t="s">
        <v>8</v>
      </c>
      <c r="D106" s="2" t="s">
        <v>22</v>
      </c>
      <c r="E106" s="4" t="s">
        <v>12</v>
      </c>
      <c r="F106" s="5">
        <v>45657</v>
      </c>
      <c r="G106" s="191" t="s">
        <v>327</v>
      </c>
    </row>
    <row r="107" spans="1:7" ht="15.75" customHeight="1" x14ac:dyDescent="0.25">
      <c r="A107" s="2" t="s">
        <v>103</v>
      </c>
      <c r="B107" s="3">
        <f>139.99/2</f>
        <v>69.995000000000005</v>
      </c>
      <c r="C107" s="2" t="s">
        <v>8</v>
      </c>
      <c r="D107" s="2" t="s">
        <v>11</v>
      </c>
      <c r="E107" s="2" t="s">
        <v>12</v>
      </c>
      <c r="F107" s="5">
        <v>45634</v>
      </c>
      <c r="G107" s="191" t="s">
        <v>327</v>
      </c>
    </row>
    <row r="108" spans="1:7" ht="15.75" customHeight="1" x14ac:dyDescent="0.25">
      <c r="A108" s="2" t="s">
        <v>104</v>
      </c>
      <c r="B108" s="2">
        <v>54.6</v>
      </c>
      <c r="C108" s="2" t="s">
        <v>8</v>
      </c>
      <c r="D108" s="2" t="s">
        <v>11</v>
      </c>
      <c r="E108" s="2" t="s">
        <v>12</v>
      </c>
      <c r="F108" s="5">
        <v>45657</v>
      </c>
      <c r="G108" s="191" t="s">
        <v>332</v>
      </c>
    </row>
    <row r="109" spans="1:7" ht="15.75" customHeight="1" x14ac:dyDescent="0.25">
      <c r="A109" s="2" t="s">
        <v>105</v>
      </c>
      <c r="B109" s="3">
        <v>51.68</v>
      </c>
      <c r="C109" s="2" t="s">
        <v>8</v>
      </c>
      <c r="D109" s="2" t="s">
        <v>11</v>
      </c>
      <c r="E109" s="4" t="s">
        <v>12</v>
      </c>
      <c r="F109" s="5">
        <v>45643</v>
      </c>
      <c r="G109" s="191" t="s">
        <v>303</v>
      </c>
    </row>
    <row r="110" spans="1:7" ht="15.75" customHeight="1" x14ac:dyDescent="0.25">
      <c r="A110" s="2" t="s">
        <v>106</v>
      </c>
      <c r="B110" s="2">
        <v>82.17</v>
      </c>
      <c r="C110" s="2" t="s">
        <v>8</v>
      </c>
      <c r="D110" s="2" t="s">
        <v>14</v>
      </c>
      <c r="E110" s="2" t="s">
        <v>12</v>
      </c>
      <c r="F110" s="5">
        <v>45657</v>
      </c>
      <c r="G110" s="191" t="s">
        <v>492</v>
      </c>
    </row>
    <row r="111" spans="1:7" ht="15.75" customHeight="1" x14ac:dyDescent="0.25">
      <c r="A111" s="2" t="s">
        <v>107</v>
      </c>
      <c r="B111" s="2">
        <v>346.14</v>
      </c>
      <c r="C111" s="2" t="s">
        <v>8</v>
      </c>
      <c r="D111" s="2" t="s">
        <v>108</v>
      </c>
      <c r="E111" s="2" t="s">
        <v>12</v>
      </c>
      <c r="F111" s="5">
        <v>45657</v>
      </c>
      <c r="G111" s="191" t="s">
        <v>304</v>
      </c>
    </row>
    <row r="112" spans="1:7" ht="15.75" customHeight="1" x14ac:dyDescent="0.25">
      <c r="A112" s="2" t="s">
        <v>94</v>
      </c>
      <c r="B112" s="3">
        <v>58.15</v>
      </c>
      <c r="C112" s="2" t="s">
        <v>8</v>
      </c>
      <c r="D112" s="2" t="s">
        <v>14</v>
      </c>
      <c r="E112" s="2" t="s">
        <v>12</v>
      </c>
      <c r="F112" s="5">
        <v>45644</v>
      </c>
      <c r="G112" s="191" t="s">
        <v>420</v>
      </c>
    </row>
    <row r="113" spans="1:7" ht="15.75" customHeight="1" x14ac:dyDescent="0.25">
      <c r="A113" s="2" t="s">
        <v>109</v>
      </c>
      <c r="B113" s="3">
        <v>33.36</v>
      </c>
      <c r="C113" s="2" t="s">
        <v>8</v>
      </c>
      <c r="D113" s="2" t="s">
        <v>11</v>
      </c>
      <c r="E113" s="2" t="s">
        <v>12</v>
      </c>
      <c r="F113" s="5">
        <v>45639</v>
      </c>
      <c r="G113" s="191" t="s">
        <v>303</v>
      </c>
    </row>
    <row r="114" spans="1:7" ht="15.75" customHeight="1" x14ac:dyDescent="0.25">
      <c r="A114" s="2" t="s">
        <v>110</v>
      </c>
      <c r="B114" s="2">
        <v>44.97</v>
      </c>
      <c r="C114" s="2" t="s">
        <v>8</v>
      </c>
      <c r="D114" s="2" t="s">
        <v>14</v>
      </c>
      <c r="E114" s="2" t="s">
        <v>12</v>
      </c>
      <c r="F114" s="5">
        <v>45657</v>
      </c>
      <c r="G114" s="191" t="s">
        <v>303</v>
      </c>
    </row>
    <row r="115" spans="1:7" ht="15.75" customHeight="1" x14ac:dyDescent="0.25">
      <c r="A115" s="2" t="s">
        <v>111</v>
      </c>
      <c r="B115" s="2">
        <v>45.88</v>
      </c>
      <c r="C115" s="2" t="s">
        <v>8</v>
      </c>
      <c r="D115" s="2" t="s">
        <v>11</v>
      </c>
      <c r="E115" s="2" t="s">
        <v>12</v>
      </c>
      <c r="F115" s="5">
        <v>45657</v>
      </c>
      <c r="G115" s="191"/>
    </row>
    <row r="116" spans="1:7" ht="15.75" customHeight="1" x14ac:dyDescent="0.25">
      <c r="A116" s="2" t="s">
        <v>111</v>
      </c>
      <c r="B116" s="2">
        <v>38</v>
      </c>
      <c r="C116" s="2" t="s">
        <v>8</v>
      </c>
      <c r="D116" s="2" t="s">
        <v>11</v>
      </c>
      <c r="E116" s="2" t="s">
        <v>12</v>
      </c>
      <c r="F116" s="5">
        <v>45657</v>
      </c>
      <c r="G116" s="191"/>
    </row>
    <row r="117" spans="1:7" ht="15.75" customHeight="1" x14ac:dyDescent="0.25">
      <c r="A117" s="2" t="s">
        <v>112</v>
      </c>
      <c r="B117" s="2">
        <v>27.01</v>
      </c>
      <c r="C117" s="2" t="s">
        <v>8</v>
      </c>
      <c r="D117" s="2" t="s">
        <v>22</v>
      </c>
      <c r="E117" s="2" t="s">
        <v>12</v>
      </c>
      <c r="F117" s="5">
        <v>45657</v>
      </c>
      <c r="G117" s="191" t="s">
        <v>386</v>
      </c>
    </row>
    <row r="118" spans="1:7" ht="15.75" customHeight="1" x14ac:dyDescent="0.25">
      <c r="A118" s="2" t="s">
        <v>113</v>
      </c>
      <c r="B118" s="2">
        <v>94.57</v>
      </c>
      <c r="C118" s="2" t="s">
        <v>8</v>
      </c>
      <c r="D118" s="2" t="s">
        <v>22</v>
      </c>
      <c r="E118" s="2" t="s">
        <v>12</v>
      </c>
      <c r="F118" s="5">
        <v>45659</v>
      </c>
      <c r="G118" s="191"/>
    </row>
    <row r="119" spans="1:7" ht="15.75" customHeight="1" x14ac:dyDescent="0.25">
      <c r="C119" s="1"/>
      <c r="D119" s="1"/>
      <c r="G119" s="191"/>
    </row>
    <row r="120" spans="1:7" ht="15.75" customHeight="1" x14ac:dyDescent="0.25">
      <c r="C120" s="1"/>
      <c r="D120" s="1"/>
      <c r="G120" s="27"/>
    </row>
    <row r="121" spans="1:7" ht="15.75" customHeight="1" x14ac:dyDescent="0.25">
      <c r="C121" s="1"/>
      <c r="D121" s="1"/>
      <c r="G121" s="27"/>
    </row>
    <row r="122" spans="1:7" ht="15.75" customHeight="1" x14ac:dyDescent="0.25">
      <c r="C122" s="1"/>
      <c r="D122" s="1"/>
      <c r="G122" s="27"/>
    </row>
    <row r="123" spans="1:7" ht="15.75" customHeight="1" x14ac:dyDescent="0.25">
      <c r="C123" s="1"/>
      <c r="D123" s="1"/>
      <c r="G123" s="27"/>
    </row>
    <row r="124" spans="1:7" ht="15.75" customHeight="1" x14ac:dyDescent="0.25">
      <c r="C124" s="1"/>
      <c r="D124" s="1"/>
      <c r="G124" s="27"/>
    </row>
    <row r="125" spans="1:7" ht="15.75" customHeight="1" x14ac:dyDescent="0.25">
      <c r="C125" s="1"/>
      <c r="D125" s="1"/>
      <c r="G125" s="27"/>
    </row>
    <row r="126" spans="1:7" ht="15.75" customHeight="1" x14ac:dyDescent="0.25">
      <c r="C126" s="1"/>
      <c r="D126" s="1"/>
      <c r="G126" s="27"/>
    </row>
    <row r="127" spans="1:7" ht="15.75" customHeight="1" x14ac:dyDescent="0.25">
      <c r="C127" s="1"/>
      <c r="D127" s="1"/>
      <c r="G127" s="27"/>
    </row>
    <row r="128" spans="1:7" ht="15.75" customHeight="1" x14ac:dyDescent="0.25">
      <c r="C128" s="1"/>
      <c r="D128" s="1"/>
      <c r="G128" s="27"/>
    </row>
    <row r="129" spans="3:7" ht="15.75" customHeight="1" x14ac:dyDescent="0.25">
      <c r="C129" s="1"/>
      <c r="D129" s="1"/>
      <c r="G129" s="27"/>
    </row>
    <row r="130" spans="3:7" ht="15.75" customHeight="1" x14ac:dyDescent="0.25">
      <c r="C130" s="1"/>
      <c r="D130" s="1"/>
      <c r="G130" s="27"/>
    </row>
    <row r="131" spans="3:7" ht="15.75" customHeight="1" x14ac:dyDescent="0.25">
      <c r="C131" s="1"/>
      <c r="D131" s="1"/>
      <c r="G131" s="27"/>
    </row>
    <row r="132" spans="3:7" ht="15.75" customHeight="1" x14ac:dyDescent="0.25">
      <c r="C132" s="1"/>
      <c r="D132" s="1"/>
      <c r="G132" s="27"/>
    </row>
    <row r="133" spans="3:7" ht="15.75" customHeight="1" x14ac:dyDescent="0.25">
      <c r="C133" s="1"/>
      <c r="D133" s="1"/>
      <c r="G133" s="27"/>
    </row>
    <row r="134" spans="3:7" ht="15.75" customHeight="1" x14ac:dyDescent="0.25">
      <c r="C134" s="1"/>
      <c r="D134" s="1"/>
      <c r="G134" s="27"/>
    </row>
    <row r="135" spans="3:7" ht="15.75" customHeight="1" x14ac:dyDescent="0.25">
      <c r="C135" s="1"/>
      <c r="D135" s="1"/>
      <c r="G135" s="27"/>
    </row>
    <row r="136" spans="3:7" ht="15.75" customHeight="1" x14ac:dyDescent="0.25">
      <c r="C136" s="1"/>
      <c r="D136" s="1"/>
      <c r="G136" s="27"/>
    </row>
    <row r="137" spans="3:7" ht="15.75" customHeight="1" x14ac:dyDescent="0.25">
      <c r="C137" s="1"/>
      <c r="D137" s="1"/>
      <c r="G137" s="27"/>
    </row>
    <row r="138" spans="3:7" ht="15.75" customHeight="1" x14ac:dyDescent="0.25">
      <c r="C138" s="1"/>
      <c r="D138" s="1"/>
      <c r="G138" s="27"/>
    </row>
    <row r="139" spans="3:7" ht="15.75" customHeight="1" x14ac:dyDescent="0.25">
      <c r="C139" s="1"/>
      <c r="D139" s="1"/>
      <c r="G139" s="27"/>
    </row>
    <row r="140" spans="3:7" ht="15.75" customHeight="1" x14ac:dyDescent="0.25">
      <c r="C140" s="1"/>
      <c r="D140" s="1"/>
      <c r="G140" s="27"/>
    </row>
    <row r="141" spans="3:7" ht="15.75" customHeight="1" x14ac:dyDescent="0.25">
      <c r="C141" s="1"/>
      <c r="D141" s="1"/>
      <c r="G141" s="27"/>
    </row>
    <row r="142" spans="3:7" ht="15.75" customHeight="1" x14ac:dyDescent="0.25">
      <c r="C142" s="1"/>
      <c r="D142" s="1"/>
      <c r="G142" s="27"/>
    </row>
    <row r="143" spans="3:7" ht="15.75" customHeight="1" x14ac:dyDescent="0.25">
      <c r="C143" s="1"/>
      <c r="D143" s="1"/>
      <c r="G143" s="27"/>
    </row>
    <row r="144" spans="3:7" ht="15.75" customHeight="1" x14ac:dyDescent="0.25">
      <c r="C144" s="1"/>
      <c r="D144" s="1"/>
      <c r="G144" s="27"/>
    </row>
    <row r="145" spans="3:7" ht="15.75" customHeight="1" x14ac:dyDescent="0.25">
      <c r="C145" s="1"/>
      <c r="D145" s="1"/>
      <c r="G145" s="27"/>
    </row>
    <row r="146" spans="3:7" ht="15.75" customHeight="1" x14ac:dyDescent="0.25">
      <c r="C146" s="1"/>
      <c r="D146" s="1"/>
      <c r="G146" s="27"/>
    </row>
    <row r="147" spans="3:7" ht="15.75" customHeight="1" x14ac:dyDescent="0.25">
      <c r="C147" s="1"/>
      <c r="D147" s="1"/>
      <c r="G147" s="27"/>
    </row>
    <row r="148" spans="3:7" ht="15.75" customHeight="1" x14ac:dyDescent="0.25">
      <c r="C148" s="1"/>
      <c r="D148" s="1"/>
      <c r="G148" s="27"/>
    </row>
    <row r="149" spans="3:7" ht="15.75" customHeight="1" x14ac:dyDescent="0.25">
      <c r="C149" s="1"/>
      <c r="D149" s="1"/>
      <c r="G149" s="27"/>
    </row>
    <row r="150" spans="3:7" ht="15.75" customHeight="1" x14ac:dyDescent="0.25">
      <c r="C150" s="1"/>
      <c r="D150" s="1"/>
    </row>
    <row r="151" spans="3:7" ht="15.75" customHeight="1" x14ac:dyDescent="0.25">
      <c r="C151" s="1"/>
      <c r="D151" s="1"/>
    </row>
    <row r="152" spans="3:7" ht="15.75" customHeight="1" x14ac:dyDescent="0.25">
      <c r="C152" s="1"/>
      <c r="D152" s="1"/>
    </row>
    <row r="153" spans="3:7" ht="15.75" customHeight="1" x14ac:dyDescent="0.25">
      <c r="C153" s="1"/>
      <c r="D153" s="1"/>
    </row>
    <row r="154" spans="3:7" ht="15.75" customHeight="1" x14ac:dyDescent="0.25">
      <c r="C154" s="1"/>
      <c r="D154" s="1"/>
    </row>
    <row r="155" spans="3:7" ht="15.75" customHeight="1" x14ac:dyDescent="0.25">
      <c r="C155" s="1"/>
      <c r="D155" s="1"/>
    </row>
    <row r="156" spans="3:7" ht="15.75" customHeight="1" x14ac:dyDescent="0.25">
      <c r="C156" s="1"/>
      <c r="D156" s="1"/>
    </row>
    <row r="157" spans="3:7" ht="15.75" customHeight="1" x14ac:dyDescent="0.25">
      <c r="C157" s="1"/>
      <c r="D157" s="1"/>
    </row>
    <row r="158" spans="3:7" ht="15.75" customHeight="1" x14ac:dyDescent="0.25">
      <c r="C158" s="1"/>
      <c r="D158" s="1"/>
    </row>
    <row r="159" spans="3:7" ht="15.75" customHeight="1" x14ac:dyDescent="0.25">
      <c r="C159" s="1"/>
      <c r="D159" s="1"/>
    </row>
    <row r="160" spans="3:7" ht="15.75" customHeight="1" x14ac:dyDescent="0.25">
      <c r="C160" s="1"/>
      <c r="D160" s="1"/>
    </row>
    <row r="161" spans="3:4" ht="15.75" customHeight="1" x14ac:dyDescent="0.25">
      <c r="C161" s="1"/>
      <c r="D161" s="1"/>
    </row>
    <row r="162" spans="3:4" ht="15.75" customHeight="1" x14ac:dyDescent="0.25">
      <c r="C162" s="1"/>
      <c r="D162" s="1"/>
    </row>
    <row r="163" spans="3:4" ht="15.75" customHeight="1" x14ac:dyDescent="0.25">
      <c r="C163" s="1"/>
      <c r="D163" s="1"/>
    </row>
    <row r="164" spans="3:4" ht="15.75" customHeight="1" x14ac:dyDescent="0.25">
      <c r="C164" s="1"/>
      <c r="D164" s="1"/>
    </row>
    <row r="165" spans="3:4" ht="15.75" customHeight="1" x14ac:dyDescent="0.25">
      <c r="C165" s="1"/>
      <c r="D165" s="1"/>
    </row>
    <row r="166" spans="3:4" ht="15.75" customHeight="1" x14ac:dyDescent="0.25">
      <c r="C166" s="1"/>
      <c r="D166" s="1"/>
    </row>
    <row r="167" spans="3:4" ht="15.75" customHeight="1" x14ac:dyDescent="0.25">
      <c r="C167" s="1"/>
      <c r="D167" s="1"/>
    </row>
    <row r="168" spans="3:4" ht="15.75" customHeight="1" x14ac:dyDescent="0.25">
      <c r="C168" s="1"/>
      <c r="D168" s="1"/>
    </row>
    <row r="169" spans="3:4" ht="15.75" customHeight="1" x14ac:dyDescent="0.25">
      <c r="C169" s="1"/>
      <c r="D169" s="1"/>
    </row>
    <row r="170" spans="3:4" ht="15.75" customHeight="1" x14ac:dyDescent="0.25">
      <c r="C170" s="1"/>
      <c r="D170" s="1"/>
    </row>
    <row r="171" spans="3:4" ht="15.75" customHeight="1" x14ac:dyDescent="0.25">
      <c r="C171" s="1"/>
      <c r="D171" s="1"/>
    </row>
    <row r="172" spans="3:4" ht="15.75" customHeight="1" x14ac:dyDescent="0.25">
      <c r="C172" s="1"/>
      <c r="D172" s="1"/>
    </row>
    <row r="173" spans="3:4" ht="15.75" customHeight="1" x14ac:dyDescent="0.25">
      <c r="C173" s="1"/>
      <c r="D173" s="1"/>
    </row>
    <row r="174" spans="3:4" ht="15.75" customHeight="1" x14ac:dyDescent="0.25">
      <c r="C174" s="1"/>
      <c r="D174" s="1"/>
    </row>
    <row r="175" spans="3:4" ht="15.75" customHeight="1" x14ac:dyDescent="0.25">
      <c r="C175" s="1"/>
      <c r="D175" s="1"/>
    </row>
    <row r="176" spans="3:4" ht="15.75" customHeight="1" x14ac:dyDescent="0.25">
      <c r="C176" s="1"/>
      <c r="D176" s="1"/>
    </row>
    <row r="177" spans="3:4" ht="15.75" customHeight="1" x14ac:dyDescent="0.25">
      <c r="C177" s="1"/>
      <c r="D177" s="1"/>
    </row>
    <row r="178" spans="3:4" ht="15.75" customHeight="1" x14ac:dyDescent="0.25">
      <c r="C178" s="1"/>
      <c r="D178" s="1"/>
    </row>
    <row r="179" spans="3:4" ht="15.75" customHeight="1" x14ac:dyDescent="0.25">
      <c r="C179" s="1"/>
      <c r="D179" s="1"/>
    </row>
    <row r="180" spans="3:4" ht="15.75" customHeight="1" x14ac:dyDescent="0.25">
      <c r="C180" s="1"/>
      <c r="D180" s="1"/>
    </row>
    <row r="181" spans="3:4" ht="15.75" customHeight="1" x14ac:dyDescent="0.25">
      <c r="C181" s="1"/>
      <c r="D181" s="1"/>
    </row>
    <row r="182" spans="3:4" ht="15.75" customHeight="1" x14ac:dyDescent="0.25">
      <c r="C182" s="1"/>
      <c r="D182" s="1"/>
    </row>
    <row r="183" spans="3:4" ht="15.75" customHeight="1" x14ac:dyDescent="0.25">
      <c r="C183" s="1"/>
      <c r="D183" s="1"/>
    </row>
    <row r="184" spans="3:4" ht="15.75" customHeight="1" x14ac:dyDescent="0.25">
      <c r="C184" s="1"/>
      <c r="D184" s="1"/>
    </row>
    <row r="185" spans="3:4" ht="15.75" customHeight="1" x14ac:dyDescent="0.25">
      <c r="C185" s="1"/>
      <c r="D185" s="1"/>
    </row>
    <row r="186" spans="3:4" ht="15.75" customHeight="1" x14ac:dyDescent="0.25">
      <c r="C186" s="1"/>
      <c r="D186" s="1"/>
    </row>
    <row r="187" spans="3:4" ht="15.75" customHeight="1" x14ac:dyDescent="0.25">
      <c r="C187" s="1"/>
      <c r="D187" s="1"/>
    </row>
    <row r="188" spans="3:4" ht="15.75" customHeight="1" x14ac:dyDescent="0.25">
      <c r="C188" s="1"/>
      <c r="D188" s="1"/>
    </row>
    <row r="189" spans="3:4" ht="15.75" customHeight="1" x14ac:dyDescent="0.25">
      <c r="C189" s="1"/>
      <c r="D189" s="1"/>
    </row>
    <row r="190" spans="3:4" ht="15.75" customHeight="1" x14ac:dyDescent="0.25">
      <c r="C190" s="1"/>
      <c r="D190" s="1"/>
    </row>
    <row r="191" spans="3:4" ht="15.75" customHeight="1" x14ac:dyDescent="0.25">
      <c r="C191" s="1"/>
      <c r="D191" s="1"/>
    </row>
    <row r="192" spans="3:4" ht="15.75" customHeight="1" x14ac:dyDescent="0.25">
      <c r="C192" s="1"/>
      <c r="D192" s="1"/>
    </row>
    <row r="193" spans="3:4" ht="15.75" customHeight="1" x14ac:dyDescent="0.25">
      <c r="C193" s="1"/>
      <c r="D193" s="1"/>
    </row>
    <row r="194" spans="3:4" ht="15.75" customHeight="1" x14ac:dyDescent="0.25">
      <c r="C194" s="1"/>
      <c r="D194" s="1"/>
    </row>
    <row r="195" spans="3:4" ht="15.75" customHeight="1" x14ac:dyDescent="0.25">
      <c r="C195" s="1"/>
      <c r="D195" s="1"/>
    </row>
    <row r="196" spans="3:4" ht="15.75" customHeight="1" x14ac:dyDescent="0.25">
      <c r="C196" s="1"/>
      <c r="D196" s="1"/>
    </row>
    <row r="197" spans="3:4" ht="15.75" customHeight="1" x14ac:dyDescent="0.25">
      <c r="C197" s="1"/>
      <c r="D197" s="1"/>
    </row>
    <row r="198" spans="3:4" ht="15.75" customHeight="1" x14ac:dyDescent="0.25">
      <c r="C198" s="1"/>
      <c r="D198" s="1"/>
    </row>
    <row r="199" spans="3:4" ht="15.75" customHeight="1" x14ac:dyDescent="0.25">
      <c r="C199" s="1"/>
      <c r="D199" s="1"/>
    </row>
    <row r="200" spans="3:4" ht="15.75" customHeight="1" x14ac:dyDescent="0.25">
      <c r="C200" s="1"/>
      <c r="D200" s="1"/>
    </row>
    <row r="201" spans="3:4" ht="15.75" customHeight="1" x14ac:dyDescent="0.25">
      <c r="C201" s="1"/>
      <c r="D201" s="1"/>
    </row>
    <row r="202" spans="3:4" ht="15.75" customHeight="1" x14ac:dyDescent="0.25">
      <c r="C202" s="1"/>
      <c r="D202" s="1"/>
    </row>
    <row r="203" spans="3:4" ht="15.75" customHeight="1" x14ac:dyDescent="0.25">
      <c r="C203" s="1"/>
      <c r="D203" s="1"/>
    </row>
    <row r="204" spans="3:4" ht="15.75" customHeight="1" x14ac:dyDescent="0.25">
      <c r="C204" s="1"/>
      <c r="D204" s="1"/>
    </row>
    <row r="205" spans="3:4" ht="15.75" customHeight="1" x14ac:dyDescent="0.25">
      <c r="C205" s="1"/>
      <c r="D205" s="1"/>
    </row>
    <row r="206" spans="3:4" ht="15.75" customHeight="1" x14ac:dyDescent="0.25">
      <c r="C206" s="1"/>
      <c r="D206" s="1"/>
    </row>
    <row r="207" spans="3:4" ht="15.75" customHeight="1" x14ac:dyDescent="0.25">
      <c r="C207" s="1"/>
      <c r="D207" s="1"/>
    </row>
    <row r="208" spans="3:4" ht="15.75" customHeight="1" x14ac:dyDescent="0.25">
      <c r="C208" s="1"/>
      <c r="D208" s="1"/>
    </row>
    <row r="209" spans="3:4" ht="15.75" customHeight="1" x14ac:dyDescent="0.25">
      <c r="C209" s="1"/>
      <c r="D209" s="1"/>
    </row>
    <row r="210" spans="3:4" ht="15.75" customHeight="1" x14ac:dyDescent="0.25">
      <c r="C210" s="1"/>
      <c r="D210" s="1"/>
    </row>
    <row r="211" spans="3:4" ht="15.75" customHeight="1" x14ac:dyDescent="0.25">
      <c r="C211" s="1"/>
      <c r="D211" s="1"/>
    </row>
    <row r="212" spans="3:4" ht="15.75" customHeight="1" x14ac:dyDescent="0.25">
      <c r="C212" s="1"/>
      <c r="D212" s="1"/>
    </row>
    <row r="213" spans="3:4" ht="15.75" customHeight="1" x14ac:dyDescent="0.25">
      <c r="C213" s="1"/>
      <c r="D213" s="1"/>
    </row>
    <row r="214" spans="3:4" ht="15.75" customHeight="1" x14ac:dyDescent="0.25">
      <c r="C214" s="1"/>
      <c r="D214" s="1"/>
    </row>
    <row r="215" spans="3:4" ht="15.75" customHeight="1" x14ac:dyDescent="0.25">
      <c r="C215" s="1"/>
      <c r="D215" s="1"/>
    </row>
    <row r="216" spans="3:4" ht="15.75" customHeight="1" x14ac:dyDescent="0.25">
      <c r="C216" s="1"/>
      <c r="D216" s="1"/>
    </row>
    <row r="217" spans="3:4" ht="15.75" customHeight="1" x14ac:dyDescent="0.25">
      <c r="C217" s="1"/>
      <c r="D217" s="1"/>
    </row>
    <row r="218" spans="3:4" ht="15.75" customHeight="1" x14ac:dyDescent="0.25">
      <c r="C218" s="1"/>
      <c r="D218" s="1"/>
    </row>
    <row r="219" spans="3:4" ht="15.75" customHeight="1" x14ac:dyDescent="0.25">
      <c r="C219" s="1"/>
      <c r="D219" s="1"/>
    </row>
    <row r="220" spans="3:4" ht="15.75" customHeight="1" x14ac:dyDescent="0.25">
      <c r="C220" s="1"/>
      <c r="D220" s="1"/>
    </row>
    <row r="221" spans="3:4" ht="15.75" customHeight="1" x14ac:dyDescent="0.25">
      <c r="C221" s="1"/>
      <c r="D221" s="1"/>
    </row>
    <row r="222" spans="3:4" ht="15.75" customHeight="1" x14ac:dyDescent="0.25">
      <c r="C222" s="1"/>
      <c r="D222" s="1"/>
    </row>
    <row r="223" spans="3:4" ht="15.75" customHeight="1" x14ac:dyDescent="0.25">
      <c r="C223" s="1"/>
      <c r="D223" s="1"/>
    </row>
    <row r="224" spans="3:4" ht="15.75" customHeight="1" x14ac:dyDescent="0.25">
      <c r="C224" s="1"/>
      <c r="D224" s="1"/>
    </row>
    <row r="225" spans="3:4" ht="15.75" customHeight="1" x14ac:dyDescent="0.25">
      <c r="C225" s="1"/>
      <c r="D225" s="1"/>
    </row>
    <row r="226" spans="3:4" ht="15.75" customHeight="1" x14ac:dyDescent="0.25">
      <c r="C226" s="1"/>
      <c r="D226" s="1"/>
    </row>
    <row r="227" spans="3:4" ht="15.75" customHeight="1" x14ac:dyDescent="0.25">
      <c r="C227" s="1"/>
      <c r="D227" s="1"/>
    </row>
    <row r="228" spans="3:4" ht="15.75" customHeight="1" x14ac:dyDescent="0.25">
      <c r="C228" s="1"/>
      <c r="D228" s="1"/>
    </row>
    <row r="229" spans="3:4" ht="15.75" customHeight="1" x14ac:dyDescent="0.25">
      <c r="C229" s="1"/>
      <c r="D229" s="1"/>
    </row>
    <row r="230" spans="3:4" ht="15.75" customHeight="1" x14ac:dyDescent="0.25">
      <c r="C230" s="1"/>
      <c r="D230" s="1"/>
    </row>
    <row r="231" spans="3:4" ht="15.75" customHeight="1" x14ac:dyDescent="0.25">
      <c r="C231" s="1"/>
      <c r="D231" s="1"/>
    </row>
    <row r="232" spans="3:4" ht="15.75" customHeight="1" x14ac:dyDescent="0.25">
      <c r="C232" s="1"/>
      <c r="D232" s="1"/>
    </row>
    <row r="233" spans="3:4" ht="15.75" customHeight="1" x14ac:dyDescent="0.25">
      <c r="C233" s="1"/>
      <c r="D233" s="1"/>
    </row>
    <row r="234" spans="3:4" ht="15.75" customHeight="1" x14ac:dyDescent="0.25">
      <c r="C234" s="1"/>
      <c r="D234" s="1"/>
    </row>
    <row r="235" spans="3:4" ht="15.75" customHeight="1" x14ac:dyDescent="0.25">
      <c r="C235" s="1"/>
      <c r="D235" s="1"/>
    </row>
    <row r="236" spans="3:4" ht="15.75" customHeight="1" x14ac:dyDescent="0.25">
      <c r="C236" s="1"/>
      <c r="D236" s="1"/>
    </row>
    <row r="237" spans="3:4" ht="15.75" customHeight="1" x14ac:dyDescent="0.25">
      <c r="C237" s="1"/>
      <c r="D237" s="1"/>
    </row>
    <row r="238" spans="3:4" ht="15.75" customHeight="1" x14ac:dyDescent="0.25">
      <c r="C238" s="1"/>
      <c r="D238" s="1"/>
    </row>
    <row r="239" spans="3:4" ht="15.75" customHeight="1" x14ac:dyDescent="0.25">
      <c r="C239" s="1"/>
      <c r="D239" s="1"/>
    </row>
    <row r="240" spans="3:4" ht="15.75" customHeight="1" x14ac:dyDescent="0.25">
      <c r="C240" s="1"/>
      <c r="D240" s="1"/>
    </row>
    <row r="241" spans="3:4" ht="15.75" customHeight="1" x14ac:dyDescent="0.25">
      <c r="C241" s="1"/>
      <c r="D241" s="1"/>
    </row>
    <row r="242" spans="3:4" ht="15.75" customHeight="1" x14ac:dyDescent="0.25">
      <c r="C242" s="1"/>
      <c r="D242" s="1"/>
    </row>
    <row r="243" spans="3:4" ht="15.75" customHeight="1" x14ac:dyDescent="0.25">
      <c r="C243" s="1"/>
      <c r="D243" s="1"/>
    </row>
    <row r="244" spans="3:4" ht="15.75" customHeight="1" x14ac:dyDescent="0.25">
      <c r="C244" s="1"/>
      <c r="D244" s="1"/>
    </row>
    <row r="245" spans="3:4" ht="15.75" customHeight="1" x14ac:dyDescent="0.25">
      <c r="C245" s="1"/>
      <c r="D245" s="1"/>
    </row>
    <row r="246" spans="3:4" ht="15.75" customHeight="1" x14ac:dyDescent="0.25">
      <c r="C246" s="1"/>
      <c r="D246" s="1"/>
    </row>
    <row r="247" spans="3:4" ht="15.75" customHeight="1" x14ac:dyDescent="0.25">
      <c r="C247" s="1"/>
      <c r="D247" s="1"/>
    </row>
    <row r="248" spans="3:4" ht="15.75" customHeight="1" x14ac:dyDescent="0.25">
      <c r="C248" s="1"/>
      <c r="D248" s="1"/>
    </row>
    <row r="249" spans="3:4" ht="15.75" customHeight="1" x14ac:dyDescent="0.25">
      <c r="C249" s="1"/>
      <c r="D249" s="1"/>
    </row>
    <row r="250" spans="3:4" ht="15.75" customHeight="1" x14ac:dyDescent="0.25">
      <c r="C250" s="1"/>
      <c r="D250" s="1"/>
    </row>
    <row r="251" spans="3:4" ht="15.75" customHeight="1" x14ac:dyDescent="0.25">
      <c r="C251" s="1"/>
      <c r="D251" s="1"/>
    </row>
    <row r="252" spans="3:4" ht="15.75" customHeight="1" x14ac:dyDescent="0.25">
      <c r="C252" s="1"/>
      <c r="D252" s="1"/>
    </row>
    <row r="253" spans="3:4" ht="15.75" customHeight="1" x14ac:dyDescent="0.25">
      <c r="C253" s="1"/>
      <c r="D253" s="1"/>
    </row>
    <row r="254" spans="3:4" ht="15.75" customHeight="1" x14ac:dyDescent="0.25">
      <c r="C254" s="1"/>
      <c r="D254" s="1"/>
    </row>
    <row r="255" spans="3:4" ht="15.75" customHeight="1" x14ac:dyDescent="0.25">
      <c r="C255" s="1"/>
      <c r="D255" s="1"/>
    </row>
    <row r="256" spans="3:4" ht="15.75" customHeight="1" x14ac:dyDescent="0.25">
      <c r="C256" s="1"/>
      <c r="D256" s="1"/>
    </row>
    <row r="257" spans="3:4" ht="15.75" customHeight="1" x14ac:dyDescent="0.25">
      <c r="C257" s="1"/>
      <c r="D257" s="1"/>
    </row>
    <row r="258" spans="3:4" ht="15.75" customHeight="1" x14ac:dyDescent="0.25">
      <c r="C258" s="1"/>
      <c r="D258" s="1"/>
    </row>
    <row r="259" spans="3:4" ht="15.75" customHeight="1" x14ac:dyDescent="0.25">
      <c r="C259" s="1"/>
      <c r="D259" s="1"/>
    </row>
    <row r="260" spans="3:4" ht="15.75" customHeight="1" x14ac:dyDescent="0.25">
      <c r="C260" s="1"/>
      <c r="D260" s="1"/>
    </row>
    <row r="261" spans="3:4" ht="15.75" customHeight="1" x14ac:dyDescent="0.25">
      <c r="C261" s="1"/>
      <c r="D261" s="1"/>
    </row>
    <row r="262" spans="3:4" ht="15.75" customHeight="1" x14ac:dyDescent="0.25">
      <c r="C262" s="1"/>
      <c r="D262" s="1"/>
    </row>
    <row r="263" spans="3:4" ht="15.75" customHeight="1" x14ac:dyDescent="0.25">
      <c r="C263" s="1"/>
      <c r="D263" s="1"/>
    </row>
    <row r="264" spans="3:4" ht="15.75" customHeight="1" x14ac:dyDescent="0.25">
      <c r="C264" s="1"/>
      <c r="D264" s="1"/>
    </row>
    <row r="265" spans="3:4" ht="15.75" customHeight="1" x14ac:dyDescent="0.25">
      <c r="C265" s="1"/>
      <c r="D265" s="1"/>
    </row>
    <row r="266" spans="3:4" ht="15.75" customHeight="1" x14ac:dyDescent="0.25">
      <c r="C266" s="1"/>
      <c r="D266" s="1"/>
    </row>
    <row r="267" spans="3:4" ht="15.75" customHeight="1" x14ac:dyDescent="0.25">
      <c r="C267" s="1"/>
      <c r="D267" s="1"/>
    </row>
    <row r="268" spans="3:4" ht="15.75" customHeight="1" x14ac:dyDescent="0.25">
      <c r="C268" s="1"/>
      <c r="D268" s="1"/>
    </row>
    <row r="269" spans="3:4" ht="15.75" customHeight="1" x14ac:dyDescent="0.25">
      <c r="C269" s="1"/>
      <c r="D269" s="1"/>
    </row>
    <row r="270" spans="3:4" ht="15.75" customHeight="1" x14ac:dyDescent="0.25">
      <c r="C270" s="1"/>
      <c r="D270" s="1"/>
    </row>
    <row r="271" spans="3:4" ht="15.75" customHeight="1" x14ac:dyDescent="0.25">
      <c r="C271" s="1"/>
      <c r="D271" s="1"/>
    </row>
    <row r="272" spans="3:4" ht="15.75" customHeight="1" x14ac:dyDescent="0.25">
      <c r="C272" s="1"/>
      <c r="D272" s="1"/>
    </row>
    <row r="273" spans="3:4" ht="15.75" customHeight="1" x14ac:dyDescent="0.25">
      <c r="C273" s="1"/>
      <c r="D273" s="1"/>
    </row>
    <row r="274" spans="3:4" ht="15.75" customHeight="1" x14ac:dyDescent="0.25">
      <c r="C274" s="1"/>
      <c r="D274" s="1"/>
    </row>
    <row r="275" spans="3:4" ht="15.75" customHeight="1" x14ac:dyDescent="0.25">
      <c r="C275" s="1"/>
      <c r="D275" s="1"/>
    </row>
    <row r="276" spans="3:4" ht="15.75" customHeight="1" x14ac:dyDescent="0.25">
      <c r="C276" s="1"/>
      <c r="D276" s="1"/>
    </row>
    <row r="277" spans="3:4" ht="15.75" customHeight="1" x14ac:dyDescent="0.25">
      <c r="C277" s="1"/>
      <c r="D277" s="1"/>
    </row>
    <row r="278" spans="3:4" ht="15.75" customHeight="1" x14ac:dyDescent="0.25">
      <c r="C278" s="1"/>
      <c r="D278" s="1"/>
    </row>
    <row r="279" spans="3:4" ht="15.75" customHeight="1" x14ac:dyDescent="0.25">
      <c r="C279" s="1"/>
      <c r="D279" s="1"/>
    </row>
    <row r="280" spans="3:4" ht="15.75" customHeight="1" x14ac:dyDescent="0.25">
      <c r="C280" s="1"/>
      <c r="D280" s="1"/>
    </row>
    <row r="281" spans="3:4" ht="15.75" customHeight="1" x14ac:dyDescent="0.25">
      <c r="C281" s="1"/>
      <c r="D281" s="1"/>
    </row>
    <row r="282" spans="3:4" ht="15.75" customHeight="1" x14ac:dyDescent="0.25">
      <c r="C282" s="1"/>
      <c r="D282" s="1"/>
    </row>
    <row r="283" spans="3:4" ht="15.75" customHeight="1" x14ac:dyDescent="0.25">
      <c r="C283" s="1"/>
      <c r="D283" s="1"/>
    </row>
    <row r="284" spans="3:4" ht="15.75" customHeight="1" x14ac:dyDescent="0.25">
      <c r="C284" s="1"/>
      <c r="D284" s="1"/>
    </row>
    <row r="285" spans="3:4" ht="15.75" customHeight="1" x14ac:dyDescent="0.25">
      <c r="C285" s="1"/>
      <c r="D285" s="1"/>
    </row>
    <row r="286" spans="3:4" ht="15.75" customHeight="1" x14ac:dyDescent="0.25">
      <c r="C286" s="1"/>
      <c r="D286" s="1"/>
    </row>
    <row r="287" spans="3:4" ht="15.75" customHeight="1" x14ac:dyDescent="0.25">
      <c r="C287" s="1"/>
      <c r="D287" s="1"/>
    </row>
    <row r="288" spans="3:4" ht="15.75" customHeight="1" x14ac:dyDescent="0.25">
      <c r="C288" s="1"/>
      <c r="D288" s="1"/>
    </row>
    <row r="289" spans="3:4" ht="15.75" customHeight="1" x14ac:dyDescent="0.25">
      <c r="C289" s="1"/>
      <c r="D289" s="1"/>
    </row>
    <row r="290" spans="3:4" ht="15.75" customHeight="1" x14ac:dyDescent="0.25">
      <c r="C290" s="1"/>
      <c r="D290" s="1"/>
    </row>
    <row r="291" spans="3:4" ht="15.75" customHeight="1" x14ac:dyDescent="0.25">
      <c r="C291" s="1"/>
      <c r="D291" s="1"/>
    </row>
    <row r="292" spans="3:4" ht="15.75" customHeight="1" x14ac:dyDescent="0.25">
      <c r="C292" s="1"/>
      <c r="D292" s="1"/>
    </row>
    <row r="293" spans="3:4" ht="15.75" customHeight="1" x14ac:dyDescent="0.25">
      <c r="C293" s="1"/>
      <c r="D293" s="1"/>
    </row>
    <row r="294" spans="3:4" ht="15.75" customHeight="1" x14ac:dyDescent="0.25">
      <c r="C294" s="1"/>
      <c r="D294" s="1"/>
    </row>
    <row r="295" spans="3:4" ht="15.75" customHeight="1" x14ac:dyDescent="0.25">
      <c r="C295" s="1"/>
      <c r="D295" s="1"/>
    </row>
    <row r="296" spans="3:4" ht="15.75" customHeight="1" x14ac:dyDescent="0.25">
      <c r="C296" s="1"/>
      <c r="D296" s="1"/>
    </row>
    <row r="297" spans="3:4" ht="15.75" customHeight="1" x14ac:dyDescent="0.25">
      <c r="C297" s="1"/>
      <c r="D297" s="1"/>
    </row>
    <row r="298" spans="3:4" ht="15.75" customHeight="1" x14ac:dyDescent="0.25">
      <c r="C298" s="1"/>
      <c r="D298" s="1"/>
    </row>
    <row r="299" spans="3:4" ht="15.75" customHeight="1" x14ac:dyDescent="0.25">
      <c r="C299" s="1"/>
      <c r="D299" s="1"/>
    </row>
    <row r="300" spans="3:4" ht="15.75" customHeight="1" x14ac:dyDescent="0.25">
      <c r="C300" s="1"/>
      <c r="D300" s="1"/>
    </row>
    <row r="301" spans="3:4" ht="15.75" customHeight="1" x14ac:dyDescent="0.25">
      <c r="C301" s="1"/>
      <c r="D301" s="1"/>
    </row>
    <row r="302" spans="3:4" ht="15.75" customHeight="1" x14ac:dyDescent="0.25">
      <c r="C302" s="1"/>
      <c r="D302" s="1"/>
    </row>
    <row r="303" spans="3:4" ht="15.75" customHeight="1" x14ac:dyDescent="0.25">
      <c r="C303" s="1"/>
      <c r="D303" s="1"/>
    </row>
    <row r="304" spans="3:4" ht="15.75" customHeight="1" x14ac:dyDescent="0.25">
      <c r="C304" s="1"/>
      <c r="D304" s="1"/>
    </row>
    <row r="305" spans="3:4" ht="15.75" customHeight="1" x14ac:dyDescent="0.25">
      <c r="C305" s="1"/>
      <c r="D305" s="1"/>
    </row>
    <row r="306" spans="3:4" ht="15.75" customHeight="1" x14ac:dyDescent="0.25">
      <c r="C306" s="1"/>
      <c r="D306" s="1"/>
    </row>
    <row r="307" spans="3:4" ht="15.75" customHeight="1" x14ac:dyDescent="0.25">
      <c r="C307" s="1"/>
      <c r="D307" s="1"/>
    </row>
    <row r="308" spans="3:4" ht="15.75" customHeight="1" x14ac:dyDescent="0.25">
      <c r="C308" s="1"/>
      <c r="D308" s="1"/>
    </row>
    <row r="309" spans="3:4" ht="15.75" customHeight="1" x14ac:dyDescent="0.25">
      <c r="C309" s="1"/>
      <c r="D309" s="1"/>
    </row>
    <row r="310" spans="3:4" ht="15.75" customHeight="1" x14ac:dyDescent="0.25">
      <c r="C310" s="1"/>
      <c r="D310" s="1"/>
    </row>
    <row r="311" spans="3:4" ht="15.75" customHeight="1" x14ac:dyDescent="0.25">
      <c r="C311" s="1"/>
      <c r="D311" s="1"/>
    </row>
    <row r="312" spans="3:4" ht="15.75" customHeight="1" x14ac:dyDescent="0.25">
      <c r="C312" s="1"/>
      <c r="D312" s="1"/>
    </row>
    <row r="313" spans="3:4" ht="15.75" customHeight="1" x14ac:dyDescent="0.25">
      <c r="C313" s="1"/>
      <c r="D313" s="1"/>
    </row>
    <row r="314" spans="3:4" ht="15.75" customHeight="1" x14ac:dyDescent="0.25">
      <c r="C314" s="1"/>
      <c r="D314" s="1"/>
    </row>
    <row r="315" spans="3:4" ht="15.75" customHeight="1" x14ac:dyDescent="0.25">
      <c r="C315" s="1"/>
      <c r="D315" s="1"/>
    </row>
    <row r="316" spans="3:4" ht="15.75" customHeight="1" x14ac:dyDescent="0.25">
      <c r="C316" s="1"/>
      <c r="D316" s="1"/>
    </row>
    <row r="317" spans="3:4" ht="15.75" customHeight="1" x14ac:dyDescent="0.25">
      <c r="C317" s="1"/>
      <c r="D317" s="1"/>
    </row>
    <row r="318" spans="3:4" ht="15.75" customHeight="1" x14ac:dyDescent="0.25">
      <c r="C318" s="1"/>
      <c r="D318" s="1"/>
    </row>
    <row r="319" spans="3:4" ht="15.75" customHeight="1" x14ac:dyDescent="0.25">
      <c r="C319" s="1"/>
      <c r="D319" s="1"/>
    </row>
    <row r="320" spans="3:4" ht="15.75" customHeight="1" x14ac:dyDescent="0.25">
      <c r="C320" s="1"/>
      <c r="D320" s="1"/>
    </row>
    <row r="321" spans="3:4" ht="15.75" customHeight="1" x14ac:dyDescent="0.25">
      <c r="C321" s="1"/>
      <c r="D321" s="1"/>
    </row>
    <row r="322" spans="3:4" ht="15.75" customHeight="1" x14ac:dyDescent="0.25">
      <c r="C322" s="1"/>
      <c r="D322" s="1"/>
    </row>
    <row r="323" spans="3:4" ht="15.75" customHeight="1" x14ac:dyDescent="0.25">
      <c r="C323" s="1"/>
      <c r="D323" s="1"/>
    </row>
    <row r="324" spans="3:4" ht="15.75" customHeight="1" x14ac:dyDescent="0.25">
      <c r="C324" s="1"/>
      <c r="D324" s="1"/>
    </row>
    <row r="325" spans="3:4" ht="15.75" customHeight="1" x14ac:dyDescent="0.25">
      <c r="C325" s="1"/>
      <c r="D325" s="1"/>
    </row>
    <row r="326" spans="3:4" ht="15.75" customHeight="1" x14ac:dyDescent="0.25">
      <c r="C326" s="1"/>
      <c r="D326" s="1"/>
    </row>
    <row r="327" spans="3:4" ht="15.75" customHeight="1" x14ac:dyDescent="0.25">
      <c r="C327" s="1"/>
      <c r="D327" s="1"/>
    </row>
    <row r="328" spans="3:4" ht="15.75" customHeight="1" x14ac:dyDescent="0.25">
      <c r="C328" s="1"/>
      <c r="D328" s="1"/>
    </row>
    <row r="329" spans="3:4" ht="15.75" customHeight="1" x14ac:dyDescent="0.25">
      <c r="C329" s="1"/>
      <c r="D329" s="1"/>
    </row>
    <row r="330" spans="3:4" ht="15.75" customHeight="1" x14ac:dyDescent="0.25">
      <c r="C330" s="1"/>
      <c r="D330" s="1"/>
    </row>
    <row r="331" spans="3:4" ht="15.75" customHeight="1" x14ac:dyDescent="0.25">
      <c r="C331" s="1"/>
      <c r="D331" s="1"/>
    </row>
    <row r="332" spans="3:4" ht="15.75" customHeight="1" x14ac:dyDescent="0.25">
      <c r="C332" s="1"/>
      <c r="D332" s="1"/>
    </row>
    <row r="333" spans="3:4" ht="15.75" customHeight="1" x14ac:dyDescent="0.25">
      <c r="C333" s="1"/>
      <c r="D333" s="1"/>
    </row>
    <row r="334" spans="3:4" ht="15.75" customHeight="1" x14ac:dyDescent="0.25">
      <c r="C334" s="1"/>
      <c r="D334" s="1"/>
    </row>
    <row r="335" spans="3:4" ht="15.75" customHeight="1" x14ac:dyDescent="0.25">
      <c r="C335" s="1"/>
      <c r="D335" s="1"/>
    </row>
    <row r="336" spans="3:4" ht="15.75" customHeight="1" x14ac:dyDescent="0.25">
      <c r="C336" s="1"/>
      <c r="D336" s="1"/>
    </row>
    <row r="337" spans="3:4" ht="15.75" customHeight="1" x14ac:dyDescent="0.25">
      <c r="C337" s="1"/>
      <c r="D337" s="1"/>
    </row>
    <row r="338" spans="3:4" ht="15.75" customHeight="1" x14ac:dyDescent="0.25">
      <c r="C338" s="1"/>
      <c r="D338" s="1"/>
    </row>
    <row r="339" spans="3:4" ht="15.75" customHeight="1" x14ac:dyDescent="0.25">
      <c r="C339" s="1"/>
      <c r="D339" s="1"/>
    </row>
    <row r="340" spans="3:4" ht="15.75" customHeight="1" x14ac:dyDescent="0.25">
      <c r="C340" s="1"/>
      <c r="D340" s="1"/>
    </row>
    <row r="341" spans="3:4" ht="15.75" customHeight="1" x14ac:dyDescent="0.25">
      <c r="C341" s="1"/>
      <c r="D341" s="1"/>
    </row>
    <row r="342" spans="3:4" ht="15.75" customHeight="1" x14ac:dyDescent="0.25">
      <c r="C342" s="1"/>
      <c r="D342" s="1"/>
    </row>
    <row r="343" spans="3:4" ht="15.75" customHeight="1" x14ac:dyDescent="0.25">
      <c r="C343" s="1"/>
      <c r="D343" s="1"/>
    </row>
    <row r="344" spans="3:4" ht="15.75" customHeight="1" x14ac:dyDescent="0.25">
      <c r="C344" s="1"/>
      <c r="D344" s="1"/>
    </row>
    <row r="345" spans="3:4" ht="15.75" customHeight="1" x14ac:dyDescent="0.25">
      <c r="C345" s="1"/>
      <c r="D345" s="1"/>
    </row>
    <row r="346" spans="3:4" ht="15.75" customHeight="1" x14ac:dyDescent="0.25">
      <c r="C346" s="1"/>
      <c r="D346" s="1"/>
    </row>
    <row r="347" spans="3:4" ht="15.75" customHeight="1" x14ac:dyDescent="0.25">
      <c r="C347" s="1"/>
      <c r="D347" s="1"/>
    </row>
    <row r="348" spans="3:4" ht="15.75" customHeight="1" x14ac:dyDescent="0.25">
      <c r="C348" s="1"/>
      <c r="D348" s="1"/>
    </row>
    <row r="349" spans="3:4" ht="15.75" customHeight="1" x14ac:dyDescent="0.25">
      <c r="C349" s="1"/>
      <c r="D349" s="1"/>
    </row>
    <row r="350" spans="3:4" ht="15.75" customHeight="1" x14ac:dyDescent="0.25">
      <c r="C350" s="1"/>
      <c r="D350" s="1"/>
    </row>
    <row r="351" spans="3:4" ht="15.75" customHeight="1" x14ac:dyDescent="0.25">
      <c r="C351" s="1"/>
      <c r="D351" s="1"/>
    </row>
    <row r="352" spans="3:4" ht="15.75" customHeight="1" x14ac:dyDescent="0.25">
      <c r="C352" s="1"/>
      <c r="D352" s="1"/>
    </row>
    <row r="353" spans="3:4" ht="15.75" customHeight="1" x14ac:dyDescent="0.25">
      <c r="C353" s="1"/>
      <c r="D353" s="1"/>
    </row>
    <row r="354" spans="3:4" ht="15.75" customHeight="1" x14ac:dyDescent="0.25">
      <c r="C354" s="1"/>
      <c r="D354" s="1"/>
    </row>
    <row r="355" spans="3:4" ht="15.75" customHeight="1" x14ac:dyDescent="0.25">
      <c r="C355" s="1"/>
      <c r="D355" s="1"/>
    </row>
    <row r="356" spans="3:4" ht="15.75" customHeight="1" x14ac:dyDescent="0.25">
      <c r="C356" s="1"/>
      <c r="D356" s="1"/>
    </row>
    <row r="357" spans="3:4" ht="15.75" customHeight="1" x14ac:dyDescent="0.25">
      <c r="C357" s="1"/>
      <c r="D357" s="1"/>
    </row>
    <row r="358" spans="3:4" ht="15.75" customHeight="1" x14ac:dyDescent="0.25">
      <c r="C358" s="1"/>
      <c r="D358" s="1"/>
    </row>
    <row r="359" spans="3:4" ht="15.75" customHeight="1" x14ac:dyDescent="0.25">
      <c r="C359" s="1"/>
      <c r="D359" s="1"/>
    </row>
    <row r="360" spans="3:4" ht="15.75" customHeight="1" x14ac:dyDescent="0.25">
      <c r="C360" s="1"/>
      <c r="D360" s="1"/>
    </row>
    <row r="361" spans="3:4" ht="15.75" customHeight="1" x14ac:dyDescent="0.25">
      <c r="C361" s="1"/>
      <c r="D361" s="1"/>
    </row>
    <row r="362" spans="3:4" ht="15.75" customHeight="1" x14ac:dyDescent="0.25">
      <c r="C362" s="1"/>
      <c r="D362" s="1"/>
    </row>
    <row r="363" spans="3:4" ht="15.75" customHeight="1" x14ac:dyDescent="0.25">
      <c r="C363" s="1"/>
      <c r="D363" s="1"/>
    </row>
    <row r="364" spans="3:4" ht="15.75" customHeight="1" x14ac:dyDescent="0.25">
      <c r="C364" s="1"/>
      <c r="D364" s="1"/>
    </row>
    <row r="365" spans="3:4" ht="15.75" customHeight="1" x14ac:dyDescent="0.25">
      <c r="C365" s="1"/>
      <c r="D365" s="1"/>
    </row>
    <row r="366" spans="3:4" ht="15.75" customHeight="1" x14ac:dyDescent="0.25">
      <c r="C366" s="1"/>
      <c r="D366" s="1"/>
    </row>
    <row r="367" spans="3:4" ht="15.75" customHeight="1" x14ac:dyDescent="0.25">
      <c r="C367" s="1"/>
      <c r="D367" s="1"/>
    </row>
    <row r="368" spans="3:4" ht="15.75" customHeight="1" x14ac:dyDescent="0.25">
      <c r="C368" s="1"/>
      <c r="D368" s="1"/>
    </row>
    <row r="369" spans="3:4" ht="15.75" customHeight="1" x14ac:dyDescent="0.25">
      <c r="C369" s="1"/>
      <c r="D369" s="1"/>
    </row>
    <row r="370" spans="3:4" ht="15.75" customHeight="1" x14ac:dyDescent="0.25">
      <c r="C370" s="1"/>
      <c r="D370" s="1"/>
    </row>
    <row r="371" spans="3:4" ht="15.75" customHeight="1" x14ac:dyDescent="0.25">
      <c r="C371" s="1"/>
      <c r="D371" s="1"/>
    </row>
    <row r="372" spans="3:4" ht="15.75" customHeight="1" x14ac:dyDescent="0.25">
      <c r="C372" s="1"/>
      <c r="D372" s="1"/>
    </row>
    <row r="373" spans="3:4" ht="15.75" customHeight="1" x14ac:dyDescent="0.25">
      <c r="C373" s="1"/>
      <c r="D373" s="1"/>
    </row>
    <row r="374" spans="3:4" ht="15.75" customHeight="1" x14ac:dyDescent="0.25">
      <c r="C374" s="1"/>
      <c r="D374" s="1"/>
    </row>
    <row r="375" spans="3:4" ht="15.75" customHeight="1" x14ac:dyDescent="0.25">
      <c r="C375" s="1"/>
      <c r="D375" s="1"/>
    </row>
    <row r="376" spans="3:4" ht="15.75" customHeight="1" x14ac:dyDescent="0.25">
      <c r="C376" s="1"/>
      <c r="D376" s="1"/>
    </row>
    <row r="377" spans="3:4" ht="15.75" customHeight="1" x14ac:dyDescent="0.25">
      <c r="C377" s="1"/>
      <c r="D377" s="1"/>
    </row>
    <row r="378" spans="3:4" ht="15.75" customHeight="1" x14ac:dyDescent="0.25">
      <c r="C378" s="1"/>
      <c r="D378" s="1"/>
    </row>
    <row r="379" spans="3:4" ht="15.75" customHeight="1" x14ac:dyDescent="0.25">
      <c r="C379" s="1"/>
      <c r="D379" s="1"/>
    </row>
    <row r="380" spans="3:4" ht="15.75" customHeight="1" x14ac:dyDescent="0.25">
      <c r="C380" s="1"/>
      <c r="D380" s="1"/>
    </row>
    <row r="381" spans="3:4" ht="15.75" customHeight="1" x14ac:dyDescent="0.25">
      <c r="C381" s="1"/>
      <c r="D381" s="1"/>
    </row>
    <row r="382" spans="3:4" ht="15.75" customHeight="1" x14ac:dyDescent="0.25">
      <c r="C382" s="1"/>
      <c r="D382" s="1"/>
    </row>
    <row r="383" spans="3:4" ht="15.75" customHeight="1" x14ac:dyDescent="0.25">
      <c r="C383" s="1"/>
      <c r="D383" s="1"/>
    </row>
    <row r="384" spans="3:4" ht="15.75" customHeight="1" x14ac:dyDescent="0.25">
      <c r="C384" s="1"/>
      <c r="D384" s="1"/>
    </row>
    <row r="385" spans="3:4" ht="15.75" customHeight="1" x14ac:dyDescent="0.25">
      <c r="C385" s="1"/>
      <c r="D385" s="1"/>
    </row>
    <row r="386" spans="3:4" ht="15.75" customHeight="1" x14ac:dyDescent="0.25">
      <c r="C386" s="1"/>
      <c r="D386" s="1"/>
    </row>
    <row r="387" spans="3:4" ht="15.75" customHeight="1" x14ac:dyDescent="0.25">
      <c r="C387" s="1"/>
      <c r="D387" s="1"/>
    </row>
    <row r="388" spans="3:4" ht="15.75" customHeight="1" x14ac:dyDescent="0.25">
      <c r="C388" s="1"/>
      <c r="D388" s="1"/>
    </row>
    <row r="389" spans="3:4" ht="15.75" customHeight="1" x14ac:dyDescent="0.25">
      <c r="C389" s="1"/>
      <c r="D389" s="1"/>
    </row>
    <row r="390" spans="3:4" ht="15.75" customHeight="1" x14ac:dyDescent="0.25">
      <c r="C390" s="1"/>
      <c r="D390" s="1"/>
    </row>
    <row r="391" spans="3:4" ht="15.75" customHeight="1" x14ac:dyDescent="0.25">
      <c r="C391" s="1"/>
      <c r="D391" s="1"/>
    </row>
    <row r="392" spans="3:4" ht="15.75" customHeight="1" x14ac:dyDescent="0.25">
      <c r="C392" s="1"/>
      <c r="D392" s="1"/>
    </row>
    <row r="393" spans="3:4" ht="15.75" customHeight="1" x14ac:dyDescent="0.25">
      <c r="C393" s="1"/>
      <c r="D393" s="1"/>
    </row>
    <row r="394" spans="3:4" ht="15.75" customHeight="1" x14ac:dyDescent="0.25">
      <c r="C394" s="1"/>
      <c r="D394" s="1"/>
    </row>
    <row r="395" spans="3:4" ht="15.75" customHeight="1" x14ac:dyDescent="0.25">
      <c r="C395" s="1"/>
      <c r="D395" s="1"/>
    </row>
    <row r="396" spans="3:4" ht="15.75" customHeight="1" x14ac:dyDescent="0.25">
      <c r="C396" s="1"/>
      <c r="D396" s="1"/>
    </row>
    <row r="397" spans="3:4" ht="15.75" customHeight="1" x14ac:dyDescent="0.25">
      <c r="C397" s="1"/>
      <c r="D397" s="1"/>
    </row>
    <row r="398" spans="3:4" ht="15.75" customHeight="1" x14ac:dyDescent="0.25">
      <c r="C398" s="1"/>
      <c r="D398" s="1"/>
    </row>
    <row r="399" spans="3:4" ht="15.75" customHeight="1" x14ac:dyDescent="0.25">
      <c r="C399" s="1"/>
      <c r="D399" s="1"/>
    </row>
    <row r="400" spans="3:4" ht="15.75" customHeight="1" x14ac:dyDescent="0.25">
      <c r="C400" s="1"/>
      <c r="D400" s="1"/>
    </row>
    <row r="401" spans="3:4" ht="15.75" customHeight="1" x14ac:dyDescent="0.25">
      <c r="C401" s="1"/>
      <c r="D401" s="1"/>
    </row>
    <row r="402" spans="3:4" ht="15.75" customHeight="1" x14ac:dyDescent="0.25">
      <c r="C402" s="1"/>
      <c r="D402" s="1"/>
    </row>
    <row r="403" spans="3:4" ht="15.75" customHeight="1" x14ac:dyDescent="0.25">
      <c r="C403" s="1"/>
      <c r="D403" s="1"/>
    </row>
    <row r="404" spans="3:4" ht="15.75" customHeight="1" x14ac:dyDescent="0.25">
      <c r="C404" s="1"/>
      <c r="D404" s="1"/>
    </row>
    <row r="405" spans="3:4" ht="15.75" customHeight="1" x14ac:dyDescent="0.25">
      <c r="C405" s="1"/>
      <c r="D405" s="1"/>
    </row>
    <row r="406" spans="3:4" ht="15.75" customHeight="1" x14ac:dyDescent="0.25">
      <c r="C406" s="1"/>
      <c r="D406" s="1"/>
    </row>
    <row r="407" spans="3:4" ht="15.75" customHeight="1" x14ac:dyDescent="0.25">
      <c r="C407" s="1"/>
      <c r="D407" s="1"/>
    </row>
    <row r="408" spans="3:4" ht="15.75" customHeight="1" x14ac:dyDescent="0.25">
      <c r="C408" s="1"/>
      <c r="D408" s="1"/>
    </row>
    <row r="409" spans="3:4" ht="15.75" customHeight="1" x14ac:dyDescent="0.25">
      <c r="C409" s="1"/>
      <c r="D409" s="1"/>
    </row>
    <row r="410" spans="3:4" ht="15.75" customHeight="1" x14ac:dyDescent="0.25">
      <c r="C410" s="1"/>
      <c r="D410" s="1"/>
    </row>
    <row r="411" spans="3:4" ht="15.75" customHeight="1" x14ac:dyDescent="0.25">
      <c r="C411" s="1"/>
      <c r="D411" s="1"/>
    </row>
    <row r="412" spans="3:4" ht="15.75" customHeight="1" x14ac:dyDescent="0.25">
      <c r="C412" s="1"/>
      <c r="D412" s="1"/>
    </row>
    <row r="413" spans="3:4" ht="15.75" customHeight="1" x14ac:dyDescent="0.25">
      <c r="C413" s="1"/>
      <c r="D413" s="1"/>
    </row>
    <row r="414" spans="3:4" ht="15.75" customHeight="1" x14ac:dyDescent="0.25">
      <c r="C414" s="1"/>
      <c r="D414" s="1"/>
    </row>
    <row r="415" spans="3:4" ht="15.75" customHeight="1" x14ac:dyDescent="0.25">
      <c r="C415" s="1"/>
      <c r="D415" s="1"/>
    </row>
    <row r="416" spans="3:4" ht="15.75" customHeight="1" x14ac:dyDescent="0.25">
      <c r="C416" s="1"/>
      <c r="D416" s="1"/>
    </row>
    <row r="417" spans="3:4" ht="15.75" customHeight="1" x14ac:dyDescent="0.25">
      <c r="C417" s="1"/>
      <c r="D417" s="1"/>
    </row>
    <row r="418" spans="3:4" ht="15.75" customHeight="1" x14ac:dyDescent="0.25">
      <c r="C418" s="1"/>
      <c r="D418" s="1"/>
    </row>
    <row r="419" spans="3:4" ht="15.75" customHeight="1" x14ac:dyDescent="0.25">
      <c r="C419" s="1"/>
      <c r="D419" s="1"/>
    </row>
    <row r="420" spans="3:4" ht="15.75" customHeight="1" x14ac:dyDescent="0.25">
      <c r="C420" s="1"/>
      <c r="D420" s="1"/>
    </row>
    <row r="421" spans="3:4" ht="15.75" customHeight="1" x14ac:dyDescent="0.25">
      <c r="C421" s="1"/>
      <c r="D421" s="1"/>
    </row>
    <row r="422" spans="3:4" ht="15.75" customHeight="1" x14ac:dyDescent="0.25">
      <c r="C422" s="1"/>
      <c r="D422" s="1"/>
    </row>
    <row r="423" spans="3:4" ht="15.75" customHeight="1" x14ac:dyDescent="0.25">
      <c r="C423" s="1"/>
      <c r="D423" s="1"/>
    </row>
    <row r="424" spans="3:4" ht="15.75" customHeight="1" x14ac:dyDescent="0.25">
      <c r="C424" s="1"/>
      <c r="D424" s="1"/>
    </row>
    <row r="425" spans="3:4" ht="15.75" customHeight="1" x14ac:dyDescent="0.25">
      <c r="C425" s="1"/>
      <c r="D425" s="1"/>
    </row>
    <row r="426" spans="3:4" ht="15.75" customHeight="1" x14ac:dyDescent="0.25">
      <c r="C426" s="1"/>
      <c r="D426" s="1"/>
    </row>
    <row r="427" spans="3:4" ht="15.75" customHeight="1" x14ac:dyDescent="0.25">
      <c r="C427" s="1"/>
      <c r="D427" s="1"/>
    </row>
    <row r="428" spans="3:4" ht="15.75" customHeight="1" x14ac:dyDescent="0.25">
      <c r="C428" s="1"/>
      <c r="D428" s="1"/>
    </row>
    <row r="429" spans="3:4" ht="15.75" customHeight="1" x14ac:dyDescent="0.25">
      <c r="C429" s="1"/>
      <c r="D429" s="1"/>
    </row>
    <row r="430" spans="3:4" ht="15.75" customHeight="1" x14ac:dyDescent="0.25">
      <c r="C430" s="1"/>
      <c r="D430" s="1"/>
    </row>
    <row r="431" spans="3:4" ht="15.75" customHeight="1" x14ac:dyDescent="0.25">
      <c r="C431" s="1"/>
      <c r="D431" s="1"/>
    </row>
    <row r="432" spans="3:4" ht="15.75" customHeight="1" x14ac:dyDescent="0.25">
      <c r="C432" s="1"/>
      <c r="D432" s="1"/>
    </row>
    <row r="433" spans="3:4" ht="15.75" customHeight="1" x14ac:dyDescent="0.25">
      <c r="C433" s="1"/>
      <c r="D433" s="1"/>
    </row>
    <row r="434" spans="3:4" ht="15.75" customHeight="1" x14ac:dyDescent="0.25">
      <c r="C434" s="1"/>
      <c r="D434" s="1"/>
    </row>
    <row r="435" spans="3:4" ht="15.75" customHeight="1" x14ac:dyDescent="0.25">
      <c r="C435" s="1"/>
      <c r="D435" s="1"/>
    </row>
    <row r="436" spans="3:4" ht="15.75" customHeight="1" x14ac:dyDescent="0.25">
      <c r="C436" s="1"/>
      <c r="D436" s="1"/>
    </row>
    <row r="437" spans="3:4" ht="15.75" customHeight="1" x14ac:dyDescent="0.25">
      <c r="C437" s="1"/>
      <c r="D437" s="1"/>
    </row>
    <row r="438" spans="3:4" ht="15.75" customHeight="1" x14ac:dyDescent="0.25">
      <c r="C438" s="1"/>
      <c r="D438" s="1"/>
    </row>
    <row r="439" spans="3:4" ht="15.75" customHeight="1" x14ac:dyDescent="0.25">
      <c r="C439" s="1"/>
      <c r="D439" s="1"/>
    </row>
    <row r="440" spans="3:4" ht="15.75" customHeight="1" x14ac:dyDescent="0.25">
      <c r="C440" s="1"/>
      <c r="D440" s="1"/>
    </row>
    <row r="441" spans="3:4" ht="15.75" customHeight="1" x14ac:dyDescent="0.25">
      <c r="C441" s="1"/>
      <c r="D441" s="1"/>
    </row>
    <row r="442" spans="3:4" ht="15.75" customHeight="1" x14ac:dyDescent="0.25">
      <c r="C442" s="1"/>
      <c r="D442" s="1"/>
    </row>
    <row r="443" spans="3:4" ht="15.75" customHeight="1" x14ac:dyDescent="0.25">
      <c r="C443" s="1"/>
      <c r="D443" s="1"/>
    </row>
    <row r="444" spans="3:4" ht="15.75" customHeight="1" x14ac:dyDescent="0.25">
      <c r="C444" s="1"/>
      <c r="D444" s="1"/>
    </row>
    <row r="445" spans="3:4" ht="15.75" customHeight="1" x14ac:dyDescent="0.25">
      <c r="C445" s="1"/>
      <c r="D445" s="1"/>
    </row>
    <row r="446" spans="3:4" ht="15.75" customHeight="1" x14ac:dyDescent="0.25">
      <c r="C446" s="1"/>
      <c r="D446" s="1"/>
    </row>
    <row r="447" spans="3:4" ht="15.75" customHeight="1" x14ac:dyDescent="0.25">
      <c r="C447" s="1"/>
      <c r="D447" s="1"/>
    </row>
    <row r="448" spans="3:4" ht="15.75" customHeight="1" x14ac:dyDescent="0.25">
      <c r="C448" s="1"/>
      <c r="D448" s="1"/>
    </row>
    <row r="449" spans="3:4" ht="15.75" customHeight="1" x14ac:dyDescent="0.25">
      <c r="C449" s="1"/>
      <c r="D449" s="1"/>
    </row>
    <row r="450" spans="3:4" ht="15.75" customHeight="1" x14ac:dyDescent="0.25">
      <c r="C450" s="1"/>
      <c r="D450" s="1"/>
    </row>
    <row r="451" spans="3:4" ht="15.75" customHeight="1" x14ac:dyDescent="0.25">
      <c r="C451" s="1"/>
      <c r="D451" s="1"/>
    </row>
    <row r="452" spans="3:4" ht="15.75" customHeight="1" x14ac:dyDescent="0.25">
      <c r="C452" s="1"/>
      <c r="D452" s="1"/>
    </row>
    <row r="453" spans="3:4" ht="15.75" customHeight="1" x14ac:dyDescent="0.25">
      <c r="C453" s="1"/>
      <c r="D453" s="1"/>
    </row>
    <row r="454" spans="3:4" ht="15.75" customHeight="1" x14ac:dyDescent="0.25">
      <c r="C454" s="1"/>
      <c r="D454" s="1"/>
    </row>
    <row r="455" spans="3:4" ht="15.75" customHeight="1" x14ac:dyDescent="0.25">
      <c r="C455" s="1"/>
      <c r="D455" s="1"/>
    </row>
    <row r="456" spans="3:4" ht="15.75" customHeight="1" x14ac:dyDescent="0.25">
      <c r="C456" s="1"/>
      <c r="D456" s="1"/>
    </row>
    <row r="457" spans="3:4" ht="15.75" customHeight="1" x14ac:dyDescent="0.25">
      <c r="C457" s="1"/>
      <c r="D457" s="1"/>
    </row>
    <row r="458" spans="3:4" ht="15.75" customHeight="1" x14ac:dyDescent="0.25">
      <c r="C458" s="1"/>
      <c r="D458" s="1"/>
    </row>
    <row r="459" spans="3:4" ht="15.75" customHeight="1" x14ac:dyDescent="0.25">
      <c r="C459" s="1"/>
      <c r="D459" s="1"/>
    </row>
    <row r="460" spans="3:4" ht="15.75" customHeight="1" x14ac:dyDescent="0.25">
      <c r="C460" s="1"/>
      <c r="D460" s="1"/>
    </row>
    <row r="461" spans="3:4" ht="15.75" customHeight="1" x14ac:dyDescent="0.25">
      <c r="C461" s="1"/>
      <c r="D461" s="1"/>
    </row>
    <row r="462" spans="3:4" ht="15.75" customHeight="1" x14ac:dyDescent="0.25">
      <c r="C462" s="1"/>
      <c r="D462" s="1"/>
    </row>
    <row r="463" spans="3:4" ht="15.75" customHeight="1" x14ac:dyDescent="0.25">
      <c r="C463" s="1"/>
      <c r="D463" s="1"/>
    </row>
    <row r="464" spans="3:4" ht="15.75" customHeight="1" x14ac:dyDescent="0.25">
      <c r="C464" s="1"/>
      <c r="D464" s="1"/>
    </row>
    <row r="465" spans="3:4" ht="15.75" customHeight="1" x14ac:dyDescent="0.25">
      <c r="C465" s="1"/>
      <c r="D465" s="1"/>
    </row>
    <row r="466" spans="3:4" ht="15.75" customHeight="1" x14ac:dyDescent="0.25">
      <c r="C466" s="1"/>
      <c r="D466" s="1"/>
    </row>
    <row r="467" spans="3:4" ht="15.75" customHeight="1" x14ac:dyDescent="0.25">
      <c r="C467" s="1"/>
      <c r="D467" s="1"/>
    </row>
    <row r="468" spans="3:4" ht="15.75" customHeight="1" x14ac:dyDescent="0.25">
      <c r="C468" s="1"/>
      <c r="D468" s="1"/>
    </row>
    <row r="469" spans="3:4" ht="15.75" customHeight="1" x14ac:dyDescent="0.25">
      <c r="C469" s="1"/>
      <c r="D469" s="1"/>
    </row>
    <row r="470" spans="3:4" ht="15.75" customHeight="1" x14ac:dyDescent="0.25">
      <c r="C470" s="1"/>
      <c r="D470" s="1"/>
    </row>
    <row r="471" spans="3:4" ht="15.75" customHeight="1" x14ac:dyDescent="0.25">
      <c r="C471" s="1"/>
      <c r="D471" s="1"/>
    </row>
    <row r="472" spans="3:4" ht="15.75" customHeight="1" x14ac:dyDescent="0.25">
      <c r="C472" s="1"/>
      <c r="D472" s="1"/>
    </row>
    <row r="473" spans="3:4" ht="15.75" customHeight="1" x14ac:dyDescent="0.25">
      <c r="C473" s="1"/>
      <c r="D473" s="1"/>
    </row>
    <row r="474" spans="3:4" ht="15.75" customHeight="1" x14ac:dyDescent="0.25">
      <c r="C474" s="1"/>
      <c r="D474" s="1"/>
    </row>
    <row r="475" spans="3:4" ht="15.75" customHeight="1" x14ac:dyDescent="0.25">
      <c r="C475" s="1"/>
      <c r="D475" s="1"/>
    </row>
    <row r="476" spans="3:4" ht="15.75" customHeight="1" x14ac:dyDescent="0.25">
      <c r="C476" s="1"/>
      <c r="D476" s="1"/>
    </row>
    <row r="477" spans="3:4" ht="15.75" customHeight="1" x14ac:dyDescent="0.25">
      <c r="C477" s="1"/>
      <c r="D477" s="1"/>
    </row>
    <row r="478" spans="3:4" ht="15.75" customHeight="1" x14ac:dyDescent="0.25">
      <c r="C478" s="1"/>
      <c r="D478" s="1"/>
    </row>
    <row r="479" spans="3:4" ht="15.75" customHeight="1" x14ac:dyDescent="0.25">
      <c r="C479" s="1"/>
      <c r="D479" s="1"/>
    </row>
    <row r="480" spans="3:4" ht="15.75" customHeight="1" x14ac:dyDescent="0.25">
      <c r="C480" s="1"/>
      <c r="D480" s="1"/>
    </row>
    <row r="481" spans="3:4" ht="15.75" customHeight="1" x14ac:dyDescent="0.25">
      <c r="C481" s="1"/>
      <c r="D481" s="1"/>
    </row>
    <row r="482" spans="3:4" ht="15.75" customHeight="1" x14ac:dyDescent="0.25">
      <c r="C482" s="1"/>
      <c r="D482" s="1"/>
    </row>
    <row r="483" spans="3:4" ht="15.75" customHeight="1" x14ac:dyDescent="0.25">
      <c r="C483" s="1"/>
      <c r="D483" s="1"/>
    </row>
    <row r="484" spans="3:4" ht="15.75" customHeight="1" x14ac:dyDescent="0.25">
      <c r="C484" s="1"/>
      <c r="D484" s="1"/>
    </row>
    <row r="485" spans="3:4" ht="15.75" customHeight="1" x14ac:dyDescent="0.25">
      <c r="C485" s="1"/>
      <c r="D485" s="1"/>
    </row>
    <row r="486" spans="3:4" ht="15.75" customHeight="1" x14ac:dyDescent="0.25">
      <c r="C486" s="1"/>
      <c r="D486" s="1"/>
    </row>
    <row r="487" spans="3:4" ht="15.75" customHeight="1" x14ac:dyDescent="0.25">
      <c r="C487" s="1"/>
      <c r="D487" s="1"/>
    </row>
    <row r="488" spans="3:4" ht="15.75" customHeight="1" x14ac:dyDescent="0.25">
      <c r="C488" s="1"/>
      <c r="D488" s="1"/>
    </row>
    <row r="489" spans="3:4" ht="15.75" customHeight="1" x14ac:dyDescent="0.25">
      <c r="C489" s="1"/>
      <c r="D489" s="1"/>
    </row>
    <row r="490" spans="3:4" ht="15.75" customHeight="1" x14ac:dyDescent="0.25">
      <c r="C490" s="1"/>
      <c r="D490" s="1"/>
    </row>
    <row r="491" spans="3:4" ht="15.75" customHeight="1" x14ac:dyDescent="0.25">
      <c r="C491" s="1"/>
      <c r="D491" s="1"/>
    </row>
    <row r="492" spans="3:4" ht="15.75" customHeight="1" x14ac:dyDescent="0.25">
      <c r="C492" s="1"/>
      <c r="D492" s="1"/>
    </row>
    <row r="493" spans="3:4" ht="15.75" customHeight="1" x14ac:dyDescent="0.25">
      <c r="C493" s="1"/>
      <c r="D493" s="1"/>
    </row>
    <row r="494" spans="3:4" ht="15.75" customHeight="1" x14ac:dyDescent="0.25">
      <c r="C494" s="1"/>
      <c r="D494" s="1"/>
    </row>
    <row r="495" spans="3:4" ht="15.75" customHeight="1" x14ac:dyDescent="0.25">
      <c r="C495" s="1"/>
      <c r="D495" s="1"/>
    </row>
    <row r="496" spans="3:4" ht="15.75" customHeight="1" x14ac:dyDescent="0.25">
      <c r="C496" s="1"/>
      <c r="D496" s="1"/>
    </row>
    <row r="497" spans="3:4" ht="15.75" customHeight="1" x14ac:dyDescent="0.25">
      <c r="C497" s="1"/>
      <c r="D497" s="1"/>
    </row>
    <row r="498" spans="3:4" ht="15.75" customHeight="1" x14ac:dyDescent="0.25">
      <c r="C498" s="1"/>
      <c r="D498" s="1"/>
    </row>
    <row r="499" spans="3:4" ht="15.75" customHeight="1" x14ac:dyDescent="0.25">
      <c r="C499" s="1"/>
      <c r="D499" s="1"/>
    </row>
    <row r="500" spans="3:4" ht="15.75" customHeight="1" x14ac:dyDescent="0.25">
      <c r="C500" s="1"/>
      <c r="D500" s="1"/>
    </row>
    <row r="501" spans="3:4" ht="15.75" customHeight="1" x14ac:dyDescent="0.25">
      <c r="C501" s="1"/>
      <c r="D501" s="1"/>
    </row>
    <row r="502" spans="3:4" ht="15.75" customHeight="1" x14ac:dyDescent="0.25">
      <c r="C502" s="1"/>
      <c r="D502" s="1"/>
    </row>
    <row r="503" spans="3:4" ht="15.75" customHeight="1" x14ac:dyDescent="0.25">
      <c r="C503" s="1"/>
      <c r="D503" s="1"/>
    </row>
    <row r="504" spans="3:4" ht="15.75" customHeight="1" x14ac:dyDescent="0.25">
      <c r="C504" s="1"/>
      <c r="D504" s="1"/>
    </row>
    <row r="505" spans="3:4" ht="15.75" customHeight="1" x14ac:dyDescent="0.25">
      <c r="C505" s="1"/>
      <c r="D505" s="1"/>
    </row>
    <row r="506" spans="3:4" ht="15.75" customHeight="1" x14ac:dyDescent="0.25">
      <c r="C506" s="1"/>
      <c r="D506" s="1"/>
    </row>
    <row r="507" spans="3:4" ht="15.75" customHeight="1" x14ac:dyDescent="0.25">
      <c r="C507" s="1"/>
      <c r="D507" s="1"/>
    </row>
    <row r="508" spans="3:4" ht="15.75" customHeight="1" x14ac:dyDescent="0.25">
      <c r="C508" s="1"/>
      <c r="D508" s="1"/>
    </row>
    <row r="509" spans="3:4" ht="15.75" customHeight="1" x14ac:dyDescent="0.25">
      <c r="C509" s="1"/>
      <c r="D509" s="1"/>
    </row>
    <row r="510" spans="3:4" ht="15.75" customHeight="1" x14ac:dyDescent="0.25">
      <c r="C510" s="1"/>
      <c r="D510" s="1"/>
    </row>
    <row r="511" spans="3:4" ht="15.75" customHeight="1" x14ac:dyDescent="0.25">
      <c r="C511" s="1"/>
      <c r="D511" s="1"/>
    </row>
    <row r="512" spans="3:4" ht="15.75" customHeight="1" x14ac:dyDescent="0.25">
      <c r="C512" s="1"/>
      <c r="D512" s="1"/>
    </row>
    <row r="513" spans="3:4" ht="15.75" customHeight="1" x14ac:dyDescent="0.25">
      <c r="C513" s="1"/>
      <c r="D513" s="1"/>
    </row>
    <row r="514" spans="3:4" ht="15.75" customHeight="1" x14ac:dyDescent="0.25">
      <c r="C514" s="1"/>
      <c r="D514" s="1"/>
    </row>
    <row r="515" spans="3:4" ht="15.75" customHeight="1" x14ac:dyDescent="0.25">
      <c r="C515" s="1"/>
      <c r="D515" s="1"/>
    </row>
    <row r="516" spans="3:4" ht="15.75" customHeight="1" x14ac:dyDescent="0.25">
      <c r="C516" s="1"/>
      <c r="D516" s="1"/>
    </row>
    <row r="517" spans="3:4" ht="15.75" customHeight="1" x14ac:dyDescent="0.25">
      <c r="C517" s="1"/>
      <c r="D517" s="1"/>
    </row>
    <row r="518" spans="3:4" ht="15.75" customHeight="1" x14ac:dyDescent="0.25">
      <c r="C518" s="1"/>
      <c r="D518" s="1"/>
    </row>
    <row r="519" spans="3:4" ht="15.75" customHeight="1" x14ac:dyDescent="0.25">
      <c r="C519" s="1"/>
      <c r="D519" s="1"/>
    </row>
    <row r="520" spans="3:4" ht="15.75" customHeight="1" x14ac:dyDescent="0.25">
      <c r="C520" s="1"/>
      <c r="D520" s="1"/>
    </row>
    <row r="521" spans="3:4" ht="15.75" customHeight="1" x14ac:dyDescent="0.25">
      <c r="C521" s="1"/>
      <c r="D521" s="1"/>
    </row>
    <row r="522" spans="3:4" ht="15.75" customHeight="1" x14ac:dyDescent="0.25">
      <c r="C522" s="1"/>
      <c r="D522" s="1"/>
    </row>
    <row r="523" spans="3:4" ht="15.75" customHeight="1" x14ac:dyDescent="0.25">
      <c r="C523" s="1"/>
      <c r="D523" s="1"/>
    </row>
    <row r="524" spans="3:4" ht="15.75" customHeight="1" x14ac:dyDescent="0.25">
      <c r="C524" s="1"/>
      <c r="D524" s="1"/>
    </row>
    <row r="525" spans="3:4" ht="15.75" customHeight="1" x14ac:dyDescent="0.25">
      <c r="C525" s="1"/>
      <c r="D525" s="1"/>
    </row>
    <row r="526" spans="3:4" ht="15.75" customHeight="1" x14ac:dyDescent="0.25">
      <c r="C526" s="1"/>
      <c r="D526" s="1"/>
    </row>
    <row r="527" spans="3:4" ht="15.75" customHeight="1" x14ac:dyDescent="0.25">
      <c r="C527" s="1"/>
      <c r="D527" s="1"/>
    </row>
    <row r="528" spans="3:4" ht="15.75" customHeight="1" x14ac:dyDescent="0.25">
      <c r="C528" s="1"/>
      <c r="D528" s="1"/>
    </row>
    <row r="529" spans="3:4" ht="15.75" customHeight="1" x14ac:dyDescent="0.25">
      <c r="C529" s="1"/>
      <c r="D529" s="1"/>
    </row>
    <row r="530" spans="3:4" ht="15.75" customHeight="1" x14ac:dyDescent="0.25">
      <c r="C530" s="1"/>
      <c r="D530" s="1"/>
    </row>
    <row r="531" spans="3:4" ht="15.75" customHeight="1" x14ac:dyDescent="0.25">
      <c r="C531" s="1"/>
      <c r="D531" s="1"/>
    </row>
    <row r="532" spans="3:4" ht="15.75" customHeight="1" x14ac:dyDescent="0.25">
      <c r="C532" s="1"/>
      <c r="D532" s="1"/>
    </row>
    <row r="533" spans="3:4" ht="15.75" customHeight="1" x14ac:dyDescent="0.25">
      <c r="C533" s="1"/>
      <c r="D533" s="1"/>
    </row>
    <row r="534" spans="3:4" ht="15.75" customHeight="1" x14ac:dyDescent="0.25">
      <c r="C534" s="1"/>
      <c r="D534" s="1"/>
    </row>
    <row r="535" spans="3:4" ht="15.75" customHeight="1" x14ac:dyDescent="0.25">
      <c r="C535" s="1"/>
      <c r="D535" s="1"/>
    </row>
    <row r="536" spans="3:4" ht="15.75" customHeight="1" x14ac:dyDescent="0.25">
      <c r="C536" s="1"/>
      <c r="D536" s="1"/>
    </row>
    <row r="537" spans="3:4" ht="15.75" customHeight="1" x14ac:dyDescent="0.25">
      <c r="C537" s="1"/>
      <c r="D537" s="1"/>
    </row>
    <row r="538" spans="3:4" ht="15.75" customHeight="1" x14ac:dyDescent="0.25">
      <c r="C538" s="1"/>
      <c r="D538" s="1"/>
    </row>
    <row r="539" spans="3:4" ht="15.75" customHeight="1" x14ac:dyDescent="0.25">
      <c r="C539" s="1"/>
      <c r="D539" s="1"/>
    </row>
    <row r="540" spans="3:4" ht="15.75" customHeight="1" x14ac:dyDescent="0.25">
      <c r="C540" s="1"/>
      <c r="D540" s="1"/>
    </row>
    <row r="541" spans="3:4" ht="15.75" customHeight="1" x14ac:dyDescent="0.25">
      <c r="C541" s="1"/>
      <c r="D541" s="1"/>
    </row>
    <row r="542" spans="3:4" ht="15.75" customHeight="1" x14ac:dyDescent="0.25">
      <c r="C542" s="1"/>
      <c r="D542" s="1"/>
    </row>
    <row r="543" spans="3:4" ht="15.75" customHeight="1" x14ac:dyDescent="0.25">
      <c r="C543" s="1"/>
      <c r="D543" s="1"/>
    </row>
    <row r="544" spans="3:4" ht="15.75" customHeight="1" x14ac:dyDescent="0.25">
      <c r="C544" s="1"/>
      <c r="D544" s="1"/>
    </row>
    <row r="545" spans="3:4" ht="15.75" customHeight="1" x14ac:dyDescent="0.25">
      <c r="C545" s="1"/>
      <c r="D545" s="1"/>
    </row>
    <row r="546" spans="3:4" ht="15.75" customHeight="1" x14ac:dyDescent="0.25">
      <c r="C546" s="1"/>
      <c r="D546" s="1"/>
    </row>
    <row r="547" spans="3:4" ht="15.75" customHeight="1" x14ac:dyDescent="0.25">
      <c r="C547" s="1"/>
      <c r="D547" s="1"/>
    </row>
    <row r="548" spans="3:4" ht="15.75" customHeight="1" x14ac:dyDescent="0.25">
      <c r="C548" s="1"/>
      <c r="D548" s="1"/>
    </row>
    <row r="549" spans="3:4" ht="15.75" customHeight="1" x14ac:dyDescent="0.25">
      <c r="C549" s="1"/>
      <c r="D549" s="1"/>
    </row>
    <row r="550" spans="3:4" ht="15.75" customHeight="1" x14ac:dyDescent="0.25">
      <c r="C550" s="1"/>
      <c r="D550" s="1"/>
    </row>
    <row r="551" spans="3:4" ht="15.75" customHeight="1" x14ac:dyDescent="0.25">
      <c r="C551" s="1"/>
      <c r="D551" s="1"/>
    </row>
    <row r="552" spans="3:4" ht="15.75" customHeight="1" x14ac:dyDescent="0.25">
      <c r="C552" s="1"/>
      <c r="D552" s="1"/>
    </row>
    <row r="553" spans="3:4" ht="15.75" customHeight="1" x14ac:dyDescent="0.25">
      <c r="C553" s="1"/>
      <c r="D553" s="1"/>
    </row>
    <row r="554" spans="3:4" ht="15.75" customHeight="1" x14ac:dyDescent="0.25">
      <c r="C554" s="1"/>
      <c r="D554" s="1"/>
    </row>
    <row r="555" spans="3:4" ht="15.75" customHeight="1" x14ac:dyDescent="0.25">
      <c r="C555" s="1"/>
      <c r="D555" s="1"/>
    </row>
    <row r="556" spans="3:4" ht="15.75" customHeight="1" x14ac:dyDescent="0.25">
      <c r="C556" s="1"/>
      <c r="D556" s="1"/>
    </row>
    <row r="557" spans="3:4" ht="15.75" customHeight="1" x14ac:dyDescent="0.25">
      <c r="C557" s="1"/>
      <c r="D557" s="1"/>
    </row>
    <row r="558" spans="3:4" ht="15.75" customHeight="1" x14ac:dyDescent="0.25">
      <c r="C558" s="1"/>
      <c r="D558" s="1"/>
    </row>
    <row r="559" spans="3:4" ht="15.75" customHeight="1" x14ac:dyDescent="0.25">
      <c r="C559" s="1"/>
      <c r="D559" s="1"/>
    </row>
    <row r="560" spans="3:4" ht="15.75" customHeight="1" x14ac:dyDescent="0.25">
      <c r="C560" s="1"/>
      <c r="D560" s="1"/>
    </row>
    <row r="561" spans="3:4" ht="15.75" customHeight="1" x14ac:dyDescent="0.25">
      <c r="C561" s="1"/>
      <c r="D561" s="1"/>
    </row>
    <row r="562" spans="3:4" ht="15.75" customHeight="1" x14ac:dyDescent="0.25">
      <c r="C562" s="1"/>
      <c r="D562" s="1"/>
    </row>
    <row r="563" spans="3:4" ht="15.75" customHeight="1" x14ac:dyDescent="0.25">
      <c r="C563" s="1"/>
      <c r="D563" s="1"/>
    </row>
    <row r="564" spans="3:4" ht="15.75" customHeight="1" x14ac:dyDescent="0.25">
      <c r="C564" s="1"/>
      <c r="D564" s="1"/>
    </row>
    <row r="565" spans="3:4" ht="15.75" customHeight="1" x14ac:dyDescent="0.25">
      <c r="C565" s="1"/>
      <c r="D565" s="1"/>
    </row>
    <row r="566" spans="3:4" ht="15.75" customHeight="1" x14ac:dyDescent="0.25">
      <c r="C566" s="1"/>
      <c r="D566" s="1"/>
    </row>
    <row r="567" spans="3:4" ht="15.75" customHeight="1" x14ac:dyDescent="0.25">
      <c r="C567" s="1"/>
      <c r="D567" s="1"/>
    </row>
    <row r="568" spans="3:4" ht="15.75" customHeight="1" x14ac:dyDescent="0.25">
      <c r="C568" s="1"/>
      <c r="D568" s="1"/>
    </row>
    <row r="569" spans="3:4" ht="15.75" customHeight="1" x14ac:dyDescent="0.25">
      <c r="C569" s="1"/>
      <c r="D569" s="1"/>
    </row>
    <row r="570" spans="3:4" ht="15.75" customHeight="1" x14ac:dyDescent="0.25">
      <c r="C570" s="1"/>
      <c r="D570" s="1"/>
    </row>
    <row r="571" spans="3:4" ht="15.75" customHeight="1" x14ac:dyDescent="0.25">
      <c r="C571" s="1"/>
      <c r="D571" s="1"/>
    </row>
    <row r="572" spans="3:4" ht="15.75" customHeight="1" x14ac:dyDescent="0.25">
      <c r="C572" s="1"/>
      <c r="D572" s="1"/>
    </row>
    <row r="573" spans="3:4" ht="15.75" customHeight="1" x14ac:dyDescent="0.25">
      <c r="C573" s="1"/>
      <c r="D573" s="1"/>
    </row>
    <row r="574" spans="3:4" ht="15.75" customHeight="1" x14ac:dyDescent="0.25">
      <c r="C574" s="1"/>
      <c r="D574" s="1"/>
    </row>
    <row r="575" spans="3:4" ht="15.75" customHeight="1" x14ac:dyDescent="0.25">
      <c r="C575" s="1"/>
      <c r="D575" s="1"/>
    </row>
    <row r="576" spans="3:4" ht="15.75" customHeight="1" x14ac:dyDescent="0.25">
      <c r="C576" s="1"/>
      <c r="D576" s="1"/>
    </row>
    <row r="577" spans="3:4" ht="15.75" customHeight="1" x14ac:dyDescent="0.25">
      <c r="C577" s="1"/>
      <c r="D577" s="1"/>
    </row>
    <row r="578" spans="3:4" ht="15.75" customHeight="1" x14ac:dyDescent="0.25">
      <c r="C578" s="1"/>
      <c r="D578" s="1"/>
    </row>
    <row r="579" spans="3:4" ht="15.75" customHeight="1" x14ac:dyDescent="0.25">
      <c r="C579" s="1"/>
      <c r="D579" s="1"/>
    </row>
    <row r="580" spans="3:4" ht="15.75" customHeight="1" x14ac:dyDescent="0.25">
      <c r="C580" s="1"/>
      <c r="D580" s="1"/>
    </row>
    <row r="581" spans="3:4" ht="15.75" customHeight="1" x14ac:dyDescent="0.25">
      <c r="C581" s="1"/>
      <c r="D581" s="1"/>
    </row>
    <row r="582" spans="3:4" ht="15.75" customHeight="1" x14ac:dyDescent="0.25">
      <c r="C582" s="1"/>
      <c r="D582" s="1"/>
    </row>
    <row r="583" spans="3:4" ht="15.75" customHeight="1" x14ac:dyDescent="0.25">
      <c r="C583" s="1"/>
      <c r="D583" s="1"/>
    </row>
    <row r="584" spans="3:4" ht="15.75" customHeight="1" x14ac:dyDescent="0.25">
      <c r="C584" s="1"/>
      <c r="D584" s="1"/>
    </row>
    <row r="585" spans="3:4" ht="15.75" customHeight="1" x14ac:dyDescent="0.25">
      <c r="C585" s="1"/>
      <c r="D585" s="1"/>
    </row>
    <row r="586" spans="3:4" ht="15.75" customHeight="1" x14ac:dyDescent="0.25">
      <c r="C586" s="1"/>
      <c r="D586" s="1"/>
    </row>
    <row r="587" spans="3:4" ht="15.75" customHeight="1" x14ac:dyDescent="0.25">
      <c r="C587" s="1"/>
      <c r="D587" s="1"/>
    </row>
    <row r="588" spans="3:4" ht="15.75" customHeight="1" x14ac:dyDescent="0.25">
      <c r="C588" s="1"/>
      <c r="D588" s="1"/>
    </row>
    <row r="589" spans="3:4" ht="15.75" customHeight="1" x14ac:dyDescent="0.25">
      <c r="C589" s="1"/>
      <c r="D589" s="1"/>
    </row>
    <row r="590" spans="3:4" ht="15.75" customHeight="1" x14ac:dyDescent="0.25">
      <c r="C590" s="1"/>
      <c r="D590" s="1"/>
    </row>
    <row r="591" spans="3:4" ht="15.75" customHeight="1" x14ac:dyDescent="0.25">
      <c r="C591" s="1"/>
      <c r="D591" s="1"/>
    </row>
    <row r="592" spans="3:4" ht="15.75" customHeight="1" x14ac:dyDescent="0.25">
      <c r="C592" s="1"/>
      <c r="D592" s="1"/>
    </row>
    <row r="593" spans="3:4" ht="15.75" customHeight="1" x14ac:dyDescent="0.25">
      <c r="C593" s="1"/>
      <c r="D593" s="1"/>
    </row>
    <row r="594" spans="3:4" ht="15.75" customHeight="1" x14ac:dyDescent="0.25">
      <c r="C594" s="1"/>
      <c r="D594" s="1"/>
    </row>
    <row r="595" spans="3:4" ht="15.75" customHeight="1" x14ac:dyDescent="0.25">
      <c r="C595" s="1"/>
      <c r="D595" s="1"/>
    </row>
    <row r="596" spans="3:4" ht="15.75" customHeight="1" x14ac:dyDescent="0.25">
      <c r="C596" s="1"/>
      <c r="D596" s="1"/>
    </row>
    <row r="597" spans="3:4" ht="15.75" customHeight="1" x14ac:dyDescent="0.25">
      <c r="C597" s="1"/>
      <c r="D597" s="1"/>
    </row>
    <row r="598" spans="3:4" ht="15.75" customHeight="1" x14ac:dyDescent="0.25">
      <c r="C598" s="1"/>
      <c r="D598" s="1"/>
    </row>
    <row r="599" spans="3:4" ht="15.75" customHeight="1" x14ac:dyDescent="0.25">
      <c r="C599" s="1"/>
      <c r="D599" s="1"/>
    </row>
    <row r="600" spans="3:4" ht="15.75" customHeight="1" x14ac:dyDescent="0.25">
      <c r="C600" s="1"/>
      <c r="D600" s="1"/>
    </row>
    <row r="601" spans="3:4" ht="15.75" customHeight="1" x14ac:dyDescent="0.25">
      <c r="C601" s="1"/>
      <c r="D601" s="1"/>
    </row>
    <row r="602" spans="3:4" ht="15.75" customHeight="1" x14ac:dyDescent="0.25">
      <c r="C602" s="1"/>
      <c r="D602" s="1"/>
    </row>
    <row r="603" spans="3:4" ht="15.75" customHeight="1" x14ac:dyDescent="0.25">
      <c r="C603" s="1"/>
      <c r="D603" s="1"/>
    </row>
    <row r="604" spans="3:4" ht="15.75" customHeight="1" x14ac:dyDescent="0.25">
      <c r="C604" s="1"/>
      <c r="D604" s="1"/>
    </row>
    <row r="605" spans="3:4" ht="15.75" customHeight="1" x14ac:dyDescent="0.25">
      <c r="C605" s="1"/>
      <c r="D605" s="1"/>
    </row>
    <row r="606" spans="3:4" ht="15.75" customHeight="1" x14ac:dyDescent="0.25">
      <c r="C606" s="1"/>
      <c r="D606" s="1"/>
    </row>
    <row r="607" spans="3:4" ht="15.75" customHeight="1" x14ac:dyDescent="0.25">
      <c r="C607" s="1"/>
      <c r="D607" s="1"/>
    </row>
    <row r="608" spans="3:4" ht="15.75" customHeight="1" x14ac:dyDescent="0.25">
      <c r="C608" s="1"/>
      <c r="D608" s="1"/>
    </row>
    <row r="609" spans="3:4" ht="15.75" customHeight="1" x14ac:dyDescent="0.25">
      <c r="C609" s="1"/>
      <c r="D609" s="1"/>
    </row>
    <row r="610" spans="3:4" ht="15.75" customHeight="1" x14ac:dyDescent="0.25">
      <c r="C610" s="1"/>
      <c r="D610" s="1"/>
    </row>
    <row r="611" spans="3:4" ht="15.75" customHeight="1" x14ac:dyDescent="0.25">
      <c r="C611" s="1"/>
      <c r="D611" s="1"/>
    </row>
    <row r="612" spans="3:4" ht="15.75" customHeight="1" x14ac:dyDescent="0.25">
      <c r="C612" s="1"/>
      <c r="D612" s="1"/>
    </row>
    <row r="613" spans="3:4" ht="15.75" customHeight="1" x14ac:dyDescent="0.25">
      <c r="C613" s="1"/>
      <c r="D613" s="1"/>
    </row>
    <row r="614" spans="3:4" ht="15.75" customHeight="1" x14ac:dyDescent="0.25">
      <c r="C614" s="1"/>
      <c r="D614" s="1"/>
    </row>
    <row r="615" spans="3:4" ht="15.75" customHeight="1" x14ac:dyDescent="0.25">
      <c r="C615" s="1"/>
      <c r="D615" s="1"/>
    </row>
    <row r="616" spans="3:4" ht="15.75" customHeight="1" x14ac:dyDescent="0.25">
      <c r="C616" s="1"/>
      <c r="D616" s="1"/>
    </row>
    <row r="617" spans="3:4" ht="15.75" customHeight="1" x14ac:dyDescent="0.25">
      <c r="C617" s="1"/>
      <c r="D617" s="1"/>
    </row>
    <row r="618" spans="3:4" ht="15.75" customHeight="1" x14ac:dyDescent="0.25">
      <c r="C618" s="1"/>
      <c r="D618" s="1"/>
    </row>
    <row r="619" spans="3:4" ht="15.75" customHeight="1" x14ac:dyDescent="0.25">
      <c r="C619" s="1"/>
      <c r="D619" s="1"/>
    </row>
    <row r="620" spans="3:4" ht="15.75" customHeight="1" x14ac:dyDescent="0.25">
      <c r="C620" s="1"/>
      <c r="D620" s="1"/>
    </row>
    <row r="621" spans="3:4" ht="15.75" customHeight="1" x14ac:dyDescent="0.25">
      <c r="C621" s="1"/>
      <c r="D621" s="1"/>
    </row>
    <row r="622" spans="3:4" ht="15.75" customHeight="1" x14ac:dyDescent="0.25">
      <c r="C622" s="1"/>
      <c r="D622" s="1"/>
    </row>
    <row r="623" spans="3:4" ht="15.75" customHeight="1" x14ac:dyDescent="0.25">
      <c r="C623" s="1"/>
      <c r="D623" s="1"/>
    </row>
    <row r="624" spans="3:4" ht="15.75" customHeight="1" x14ac:dyDescent="0.25">
      <c r="C624" s="1"/>
      <c r="D624" s="1"/>
    </row>
    <row r="625" spans="3:4" ht="15.75" customHeight="1" x14ac:dyDescent="0.25">
      <c r="C625" s="1"/>
      <c r="D625" s="1"/>
    </row>
    <row r="626" spans="3:4" ht="15.75" customHeight="1" x14ac:dyDescent="0.25">
      <c r="C626" s="1"/>
      <c r="D626" s="1"/>
    </row>
    <row r="627" spans="3:4" ht="15.75" customHeight="1" x14ac:dyDescent="0.25">
      <c r="C627" s="1"/>
      <c r="D627" s="1"/>
    </row>
    <row r="628" spans="3:4" ht="15.75" customHeight="1" x14ac:dyDescent="0.25">
      <c r="C628" s="1"/>
      <c r="D628" s="1"/>
    </row>
    <row r="629" spans="3:4" ht="15.75" customHeight="1" x14ac:dyDescent="0.25">
      <c r="C629" s="1"/>
      <c r="D629" s="1"/>
    </row>
    <row r="630" spans="3:4" ht="15.75" customHeight="1" x14ac:dyDescent="0.25">
      <c r="C630" s="1"/>
      <c r="D630" s="1"/>
    </row>
    <row r="631" spans="3:4" ht="15.75" customHeight="1" x14ac:dyDescent="0.25">
      <c r="C631" s="1"/>
      <c r="D631" s="1"/>
    </row>
    <row r="632" spans="3:4" ht="15.75" customHeight="1" x14ac:dyDescent="0.25">
      <c r="C632" s="1"/>
      <c r="D632" s="1"/>
    </row>
    <row r="633" spans="3:4" ht="15.75" customHeight="1" x14ac:dyDescent="0.25">
      <c r="C633" s="1"/>
      <c r="D633" s="1"/>
    </row>
    <row r="634" spans="3:4" ht="15.75" customHeight="1" x14ac:dyDescent="0.25">
      <c r="C634" s="1"/>
      <c r="D634" s="1"/>
    </row>
    <row r="635" spans="3:4" ht="15.75" customHeight="1" x14ac:dyDescent="0.25">
      <c r="C635" s="1"/>
      <c r="D635" s="1"/>
    </row>
    <row r="636" spans="3:4" ht="15.75" customHeight="1" x14ac:dyDescent="0.25">
      <c r="C636" s="1"/>
      <c r="D636" s="1"/>
    </row>
    <row r="637" spans="3:4" ht="15.75" customHeight="1" x14ac:dyDescent="0.25">
      <c r="C637" s="1"/>
      <c r="D637" s="1"/>
    </row>
    <row r="638" spans="3:4" ht="15.75" customHeight="1" x14ac:dyDescent="0.25">
      <c r="C638" s="1"/>
      <c r="D638" s="1"/>
    </row>
    <row r="639" spans="3:4" ht="15.75" customHeight="1" x14ac:dyDescent="0.25">
      <c r="C639" s="1"/>
      <c r="D639" s="1"/>
    </row>
    <row r="640" spans="3:4" ht="15.75" customHeight="1" x14ac:dyDescent="0.25">
      <c r="C640" s="1"/>
      <c r="D640" s="1"/>
    </row>
    <row r="641" spans="3:4" ht="15.75" customHeight="1" x14ac:dyDescent="0.25">
      <c r="C641" s="1"/>
      <c r="D641" s="1"/>
    </row>
    <row r="642" spans="3:4" ht="15.75" customHeight="1" x14ac:dyDescent="0.25">
      <c r="C642" s="1"/>
      <c r="D642" s="1"/>
    </row>
    <row r="643" spans="3:4" ht="15.75" customHeight="1" x14ac:dyDescent="0.25">
      <c r="C643" s="1"/>
      <c r="D643" s="1"/>
    </row>
    <row r="644" spans="3:4" ht="15.75" customHeight="1" x14ac:dyDescent="0.25">
      <c r="C644" s="1"/>
      <c r="D644" s="1"/>
    </row>
    <row r="645" spans="3:4" ht="15.75" customHeight="1" x14ac:dyDescent="0.25">
      <c r="C645" s="1"/>
      <c r="D645" s="1"/>
    </row>
    <row r="646" spans="3:4" ht="15.75" customHeight="1" x14ac:dyDescent="0.25">
      <c r="C646" s="1"/>
      <c r="D646" s="1"/>
    </row>
    <row r="647" spans="3:4" ht="15.75" customHeight="1" x14ac:dyDescent="0.25">
      <c r="C647" s="1"/>
      <c r="D647" s="1"/>
    </row>
    <row r="648" spans="3:4" ht="15.75" customHeight="1" x14ac:dyDescent="0.25">
      <c r="C648" s="1"/>
      <c r="D648" s="1"/>
    </row>
    <row r="649" spans="3:4" ht="15.75" customHeight="1" x14ac:dyDescent="0.25">
      <c r="C649" s="1"/>
      <c r="D649" s="1"/>
    </row>
    <row r="650" spans="3:4" ht="15.75" customHeight="1" x14ac:dyDescent="0.25">
      <c r="C650" s="1"/>
      <c r="D650" s="1"/>
    </row>
    <row r="651" spans="3:4" ht="15.75" customHeight="1" x14ac:dyDescent="0.25">
      <c r="C651" s="1"/>
      <c r="D651" s="1"/>
    </row>
    <row r="652" spans="3:4" ht="15.75" customHeight="1" x14ac:dyDescent="0.25">
      <c r="C652" s="1"/>
      <c r="D652" s="1"/>
    </row>
    <row r="653" spans="3:4" ht="15.75" customHeight="1" x14ac:dyDescent="0.25">
      <c r="C653" s="1"/>
      <c r="D653" s="1"/>
    </row>
    <row r="654" spans="3:4" ht="15.75" customHeight="1" x14ac:dyDescent="0.25">
      <c r="C654" s="1"/>
      <c r="D654" s="1"/>
    </row>
    <row r="655" spans="3:4" ht="15.75" customHeight="1" x14ac:dyDescent="0.25">
      <c r="C655" s="1"/>
      <c r="D655" s="1"/>
    </row>
    <row r="656" spans="3:4" ht="15.75" customHeight="1" x14ac:dyDescent="0.25">
      <c r="C656" s="1"/>
      <c r="D656" s="1"/>
    </row>
    <row r="657" spans="3:4" ht="15.75" customHeight="1" x14ac:dyDescent="0.25">
      <c r="C657" s="1"/>
      <c r="D657" s="1"/>
    </row>
    <row r="658" spans="3:4" ht="15.75" customHeight="1" x14ac:dyDescent="0.25">
      <c r="C658" s="1"/>
      <c r="D658" s="1"/>
    </row>
    <row r="659" spans="3:4" ht="15.75" customHeight="1" x14ac:dyDescent="0.25">
      <c r="C659" s="1"/>
      <c r="D659" s="1"/>
    </row>
    <row r="660" spans="3:4" ht="15.75" customHeight="1" x14ac:dyDescent="0.25">
      <c r="C660" s="1"/>
      <c r="D660" s="1"/>
    </row>
    <row r="661" spans="3:4" ht="15.75" customHeight="1" x14ac:dyDescent="0.25">
      <c r="C661" s="1"/>
      <c r="D661" s="1"/>
    </row>
    <row r="662" spans="3:4" ht="15.75" customHeight="1" x14ac:dyDescent="0.25">
      <c r="C662" s="1"/>
      <c r="D662" s="1"/>
    </row>
    <row r="663" spans="3:4" ht="15.75" customHeight="1" x14ac:dyDescent="0.25">
      <c r="C663" s="1"/>
      <c r="D663" s="1"/>
    </row>
    <row r="664" spans="3:4" ht="15.75" customHeight="1" x14ac:dyDescent="0.25">
      <c r="C664" s="1"/>
      <c r="D664" s="1"/>
    </row>
    <row r="665" spans="3:4" ht="15.75" customHeight="1" x14ac:dyDescent="0.25">
      <c r="C665" s="1"/>
      <c r="D665" s="1"/>
    </row>
    <row r="666" spans="3:4" ht="15.75" customHeight="1" x14ac:dyDescent="0.25">
      <c r="C666" s="1"/>
      <c r="D666" s="1"/>
    </row>
    <row r="667" spans="3:4" ht="15.75" customHeight="1" x14ac:dyDescent="0.25">
      <c r="C667" s="1"/>
      <c r="D667" s="1"/>
    </row>
    <row r="668" spans="3:4" ht="15.75" customHeight="1" x14ac:dyDescent="0.25">
      <c r="C668" s="1"/>
      <c r="D668" s="1"/>
    </row>
    <row r="669" spans="3:4" ht="15.75" customHeight="1" x14ac:dyDescent="0.25">
      <c r="C669" s="1"/>
      <c r="D669" s="1"/>
    </row>
    <row r="670" spans="3:4" ht="15.75" customHeight="1" x14ac:dyDescent="0.25">
      <c r="C670" s="1"/>
      <c r="D670" s="1"/>
    </row>
    <row r="671" spans="3:4" ht="15.75" customHeight="1" x14ac:dyDescent="0.25">
      <c r="C671" s="1"/>
      <c r="D671" s="1"/>
    </row>
    <row r="672" spans="3:4" ht="15.75" customHeight="1" x14ac:dyDescent="0.25">
      <c r="C672" s="1"/>
      <c r="D672" s="1"/>
    </row>
    <row r="673" spans="3:4" ht="15.75" customHeight="1" x14ac:dyDescent="0.25">
      <c r="C673" s="1"/>
      <c r="D673" s="1"/>
    </row>
    <row r="674" spans="3:4" ht="15.75" customHeight="1" x14ac:dyDescent="0.25">
      <c r="C674" s="1"/>
      <c r="D674" s="1"/>
    </row>
    <row r="675" spans="3:4" ht="15.75" customHeight="1" x14ac:dyDescent="0.25">
      <c r="C675" s="1"/>
      <c r="D675" s="1"/>
    </row>
    <row r="676" spans="3:4" ht="15.75" customHeight="1" x14ac:dyDescent="0.25">
      <c r="C676" s="1"/>
      <c r="D676" s="1"/>
    </row>
    <row r="677" spans="3:4" ht="15.75" customHeight="1" x14ac:dyDescent="0.25">
      <c r="C677" s="1"/>
      <c r="D677" s="1"/>
    </row>
    <row r="678" spans="3:4" ht="15.75" customHeight="1" x14ac:dyDescent="0.25">
      <c r="C678" s="1"/>
      <c r="D678" s="1"/>
    </row>
    <row r="679" spans="3:4" ht="15.75" customHeight="1" x14ac:dyDescent="0.25">
      <c r="C679" s="1"/>
      <c r="D679" s="1"/>
    </row>
    <row r="680" spans="3:4" ht="15.75" customHeight="1" x14ac:dyDescent="0.25">
      <c r="C680" s="1"/>
      <c r="D680" s="1"/>
    </row>
    <row r="681" spans="3:4" ht="15.75" customHeight="1" x14ac:dyDescent="0.25">
      <c r="C681" s="1"/>
      <c r="D681" s="1"/>
    </row>
    <row r="682" spans="3:4" ht="15.75" customHeight="1" x14ac:dyDescent="0.25">
      <c r="C682" s="1"/>
      <c r="D682" s="1"/>
    </row>
    <row r="683" spans="3:4" ht="15.75" customHeight="1" x14ac:dyDescent="0.25">
      <c r="C683" s="1"/>
      <c r="D683" s="1"/>
    </row>
    <row r="684" spans="3:4" ht="15.75" customHeight="1" x14ac:dyDescent="0.25">
      <c r="C684" s="1"/>
      <c r="D684" s="1"/>
    </row>
    <row r="685" spans="3:4" ht="15.75" customHeight="1" x14ac:dyDescent="0.25">
      <c r="C685" s="1"/>
      <c r="D685" s="1"/>
    </row>
    <row r="686" spans="3:4" ht="15.75" customHeight="1" x14ac:dyDescent="0.25">
      <c r="C686" s="1"/>
      <c r="D686" s="1"/>
    </row>
    <row r="687" spans="3:4" ht="15.75" customHeight="1" x14ac:dyDescent="0.25">
      <c r="C687" s="1"/>
      <c r="D687" s="1"/>
    </row>
    <row r="688" spans="3:4" ht="15.75" customHeight="1" x14ac:dyDescent="0.25">
      <c r="C688" s="1"/>
      <c r="D688" s="1"/>
    </row>
    <row r="689" spans="3:4" ht="15.75" customHeight="1" x14ac:dyDescent="0.25">
      <c r="C689" s="1"/>
      <c r="D689" s="1"/>
    </row>
    <row r="690" spans="3:4" ht="15.75" customHeight="1" x14ac:dyDescent="0.25">
      <c r="C690" s="1"/>
      <c r="D690" s="1"/>
    </row>
    <row r="691" spans="3:4" ht="15.75" customHeight="1" x14ac:dyDescent="0.25">
      <c r="C691" s="1"/>
      <c r="D691" s="1"/>
    </row>
    <row r="692" spans="3:4" ht="15.75" customHeight="1" x14ac:dyDescent="0.25">
      <c r="C692" s="1"/>
      <c r="D692" s="1"/>
    </row>
    <row r="693" spans="3:4" ht="15.75" customHeight="1" x14ac:dyDescent="0.25">
      <c r="C693" s="1"/>
      <c r="D693" s="1"/>
    </row>
    <row r="694" spans="3:4" ht="15.75" customHeight="1" x14ac:dyDescent="0.25">
      <c r="C694" s="1"/>
      <c r="D694" s="1"/>
    </row>
    <row r="695" spans="3:4" ht="15.75" customHeight="1" x14ac:dyDescent="0.25">
      <c r="C695" s="1"/>
      <c r="D695" s="1"/>
    </row>
    <row r="696" spans="3:4" ht="15.75" customHeight="1" x14ac:dyDescent="0.25">
      <c r="C696" s="1"/>
      <c r="D696" s="1"/>
    </row>
    <row r="697" spans="3:4" ht="15.75" customHeight="1" x14ac:dyDescent="0.25">
      <c r="C697" s="1"/>
      <c r="D697" s="1"/>
    </row>
    <row r="698" spans="3:4" ht="15.75" customHeight="1" x14ac:dyDescent="0.25">
      <c r="C698" s="1"/>
      <c r="D698" s="1"/>
    </row>
    <row r="699" spans="3:4" ht="15.75" customHeight="1" x14ac:dyDescent="0.25">
      <c r="C699" s="1"/>
      <c r="D699" s="1"/>
    </row>
    <row r="700" spans="3:4" ht="15.75" customHeight="1" x14ac:dyDescent="0.25">
      <c r="C700" s="1"/>
      <c r="D700" s="1"/>
    </row>
    <row r="701" spans="3:4" ht="15.75" customHeight="1" x14ac:dyDescent="0.25">
      <c r="C701" s="1"/>
      <c r="D701" s="1"/>
    </row>
    <row r="702" spans="3:4" ht="15.75" customHeight="1" x14ac:dyDescent="0.25">
      <c r="C702" s="1"/>
      <c r="D702" s="1"/>
    </row>
    <row r="703" spans="3:4" ht="15.75" customHeight="1" x14ac:dyDescent="0.25">
      <c r="C703" s="1"/>
      <c r="D703" s="1"/>
    </row>
    <row r="704" spans="3:4" ht="15.75" customHeight="1" x14ac:dyDescent="0.25">
      <c r="C704" s="1"/>
      <c r="D704" s="1"/>
    </row>
    <row r="705" spans="3:4" ht="15.75" customHeight="1" x14ac:dyDescent="0.25">
      <c r="C705" s="1"/>
      <c r="D705" s="1"/>
    </row>
    <row r="706" spans="3:4" ht="15.75" customHeight="1" x14ac:dyDescent="0.25">
      <c r="C706" s="1"/>
      <c r="D706" s="1"/>
    </row>
    <row r="707" spans="3:4" ht="15.75" customHeight="1" x14ac:dyDescent="0.25">
      <c r="C707" s="1"/>
      <c r="D707" s="1"/>
    </row>
    <row r="708" spans="3:4" ht="15.75" customHeight="1" x14ac:dyDescent="0.25">
      <c r="C708" s="1"/>
      <c r="D708" s="1"/>
    </row>
    <row r="709" spans="3:4" ht="15.75" customHeight="1" x14ac:dyDescent="0.25">
      <c r="C709" s="1"/>
      <c r="D709" s="1"/>
    </row>
    <row r="710" spans="3:4" ht="15.75" customHeight="1" x14ac:dyDescent="0.25">
      <c r="C710" s="1"/>
      <c r="D710" s="1"/>
    </row>
    <row r="711" spans="3:4" ht="15.75" customHeight="1" x14ac:dyDescent="0.25">
      <c r="C711" s="1"/>
      <c r="D711" s="1"/>
    </row>
    <row r="712" spans="3:4" ht="15.75" customHeight="1" x14ac:dyDescent="0.25">
      <c r="C712" s="1"/>
      <c r="D712" s="1"/>
    </row>
    <row r="713" spans="3:4" ht="15.75" customHeight="1" x14ac:dyDescent="0.25">
      <c r="C713" s="1"/>
      <c r="D713" s="1"/>
    </row>
    <row r="714" spans="3:4" ht="15.75" customHeight="1" x14ac:dyDescent="0.25">
      <c r="C714" s="1"/>
      <c r="D714" s="1"/>
    </row>
    <row r="715" spans="3:4" ht="15.75" customHeight="1" x14ac:dyDescent="0.25">
      <c r="C715" s="1"/>
      <c r="D715" s="1"/>
    </row>
    <row r="716" spans="3:4" ht="15.75" customHeight="1" x14ac:dyDescent="0.25">
      <c r="C716" s="1"/>
      <c r="D716" s="1"/>
    </row>
    <row r="717" spans="3:4" ht="15.75" customHeight="1" x14ac:dyDescent="0.25">
      <c r="C717" s="1"/>
      <c r="D717" s="1"/>
    </row>
    <row r="718" spans="3:4" ht="15.75" customHeight="1" x14ac:dyDescent="0.25">
      <c r="C718" s="1"/>
      <c r="D718" s="1"/>
    </row>
    <row r="719" spans="3:4" ht="15.75" customHeight="1" x14ac:dyDescent="0.25">
      <c r="C719" s="1"/>
      <c r="D719" s="1"/>
    </row>
    <row r="720" spans="3:4" ht="15.75" customHeight="1" x14ac:dyDescent="0.25">
      <c r="C720" s="1"/>
      <c r="D720" s="1"/>
    </row>
    <row r="721" spans="3:4" ht="15.75" customHeight="1" x14ac:dyDescent="0.25">
      <c r="C721" s="1"/>
      <c r="D721" s="1"/>
    </row>
    <row r="722" spans="3:4" ht="15.75" customHeight="1" x14ac:dyDescent="0.25">
      <c r="C722" s="1"/>
      <c r="D722" s="1"/>
    </row>
    <row r="723" spans="3:4" ht="15.75" customHeight="1" x14ac:dyDescent="0.25">
      <c r="C723" s="1"/>
      <c r="D723" s="1"/>
    </row>
    <row r="724" spans="3:4" ht="15.75" customHeight="1" x14ac:dyDescent="0.25">
      <c r="C724" s="1"/>
      <c r="D724" s="1"/>
    </row>
    <row r="725" spans="3:4" ht="15.75" customHeight="1" x14ac:dyDescent="0.25">
      <c r="C725" s="1"/>
      <c r="D725" s="1"/>
    </row>
    <row r="726" spans="3:4" ht="15.75" customHeight="1" x14ac:dyDescent="0.25">
      <c r="C726" s="1"/>
      <c r="D726" s="1"/>
    </row>
    <row r="727" spans="3:4" ht="15.75" customHeight="1" x14ac:dyDescent="0.25">
      <c r="C727" s="1"/>
      <c r="D727" s="1"/>
    </row>
    <row r="728" spans="3:4" ht="15.75" customHeight="1" x14ac:dyDescent="0.25">
      <c r="C728" s="1"/>
      <c r="D728" s="1"/>
    </row>
    <row r="729" spans="3:4" ht="15.75" customHeight="1" x14ac:dyDescent="0.25">
      <c r="C729" s="1"/>
      <c r="D729" s="1"/>
    </row>
    <row r="730" spans="3:4" ht="15.75" customHeight="1" x14ac:dyDescent="0.25">
      <c r="C730" s="1"/>
      <c r="D730" s="1"/>
    </row>
    <row r="731" spans="3:4" ht="15.75" customHeight="1" x14ac:dyDescent="0.25">
      <c r="C731" s="1"/>
      <c r="D731" s="1"/>
    </row>
    <row r="732" spans="3:4" ht="15.75" customHeight="1" x14ac:dyDescent="0.25">
      <c r="C732" s="1"/>
      <c r="D732" s="1"/>
    </row>
    <row r="733" spans="3:4" ht="15.75" customHeight="1" x14ac:dyDescent="0.25">
      <c r="C733" s="1"/>
      <c r="D733" s="1"/>
    </row>
    <row r="734" spans="3:4" ht="15.75" customHeight="1" x14ac:dyDescent="0.25">
      <c r="C734" s="1"/>
      <c r="D734" s="1"/>
    </row>
    <row r="735" spans="3:4" ht="15.75" customHeight="1" x14ac:dyDescent="0.25">
      <c r="C735" s="1"/>
      <c r="D735" s="1"/>
    </row>
    <row r="736" spans="3:4" ht="15.75" customHeight="1" x14ac:dyDescent="0.25">
      <c r="C736" s="1"/>
      <c r="D736" s="1"/>
    </row>
    <row r="737" spans="3:4" ht="15.75" customHeight="1" x14ac:dyDescent="0.25">
      <c r="C737" s="1"/>
      <c r="D737" s="1"/>
    </row>
    <row r="738" spans="3:4" ht="15.75" customHeight="1" x14ac:dyDescent="0.25">
      <c r="C738" s="1"/>
      <c r="D738" s="1"/>
    </row>
    <row r="739" spans="3:4" ht="15.75" customHeight="1" x14ac:dyDescent="0.25">
      <c r="C739" s="1"/>
      <c r="D739" s="1"/>
    </row>
    <row r="740" spans="3:4" ht="15.75" customHeight="1" x14ac:dyDescent="0.25">
      <c r="C740" s="1"/>
      <c r="D740" s="1"/>
    </row>
    <row r="741" spans="3:4" ht="15.75" customHeight="1" x14ac:dyDescent="0.25">
      <c r="C741" s="1"/>
      <c r="D741" s="1"/>
    </row>
    <row r="742" spans="3:4" ht="15.75" customHeight="1" x14ac:dyDescent="0.25">
      <c r="C742" s="1"/>
      <c r="D742" s="1"/>
    </row>
    <row r="743" spans="3:4" ht="15.75" customHeight="1" x14ac:dyDescent="0.25">
      <c r="C743" s="1"/>
      <c r="D743" s="1"/>
    </row>
    <row r="744" spans="3:4" ht="15.75" customHeight="1" x14ac:dyDescent="0.25">
      <c r="C744" s="1"/>
      <c r="D744" s="1"/>
    </row>
    <row r="745" spans="3:4" ht="15.75" customHeight="1" x14ac:dyDescent="0.25">
      <c r="C745" s="1"/>
      <c r="D745" s="1"/>
    </row>
    <row r="746" spans="3:4" ht="15.75" customHeight="1" x14ac:dyDescent="0.25">
      <c r="C746" s="1"/>
      <c r="D746" s="1"/>
    </row>
    <row r="747" spans="3:4" ht="15.75" customHeight="1" x14ac:dyDescent="0.25">
      <c r="C747" s="1"/>
      <c r="D747" s="1"/>
    </row>
    <row r="748" spans="3:4" ht="15.75" customHeight="1" x14ac:dyDescent="0.25">
      <c r="C748" s="1"/>
      <c r="D748" s="1"/>
    </row>
    <row r="749" spans="3:4" ht="15.75" customHeight="1" x14ac:dyDescent="0.25">
      <c r="C749" s="1"/>
      <c r="D749" s="1"/>
    </row>
    <row r="750" spans="3:4" ht="15.75" customHeight="1" x14ac:dyDescent="0.25">
      <c r="C750" s="1"/>
      <c r="D750" s="1"/>
    </row>
    <row r="751" spans="3:4" ht="15.75" customHeight="1" x14ac:dyDescent="0.25">
      <c r="C751" s="1"/>
      <c r="D751" s="1"/>
    </row>
    <row r="752" spans="3:4" ht="15.75" customHeight="1" x14ac:dyDescent="0.25">
      <c r="C752" s="1"/>
      <c r="D752" s="1"/>
    </row>
    <row r="753" spans="3:4" ht="15.75" customHeight="1" x14ac:dyDescent="0.25">
      <c r="C753" s="1"/>
      <c r="D753" s="1"/>
    </row>
    <row r="754" spans="3:4" ht="15.75" customHeight="1" x14ac:dyDescent="0.25">
      <c r="C754" s="1"/>
      <c r="D754" s="1"/>
    </row>
    <row r="755" spans="3:4" ht="15.75" customHeight="1" x14ac:dyDescent="0.25">
      <c r="C755" s="1"/>
      <c r="D755" s="1"/>
    </row>
    <row r="756" spans="3:4" ht="15.75" customHeight="1" x14ac:dyDescent="0.25">
      <c r="C756" s="1"/>
      <c r="D756" s="1"/>
    </row>
    <row r="757" spans="3:4" ht="15.75" customHeight="1" x14ac:dyDescent="0.25">
      <c r="C757" s="1"/>
      <c r="D757" s="1"/>
    </row>
    <row r="758" spans="3:4" ht="15.75" customHeight="1" x14ac:dyDescent="0.25">
      <c r="C758" s="1"/>
      <c r="D758" s="1"/>
    </row>
    <row r="759" spans="3:4" ht="15.75" customHeight="1" x14ac:dyDescent="0.25">
      <c r="C759" s="1"/>
      <c r="D759" s="1"/>
    </row>
    <row r="760" spans="3:4" ht="15.75" customHeight="1" x14ac:dyDescent="0.25">
      <c r="C760" s="1"/>
      <c r="D760" s="1"/>
    </row>
    <row r="761" spans="3:4" ht="15.75" customHeight="1" x14ac:dyDescent="0.25">
      <c r="C761" s="1"/>
      <c r="D761" s="1"/>
    </row>
    <row r="762" spans="3:4" ht="15.75" customHeight="1" x14ac:dyDescent="0.25">
      <c r="C762" s="1"/>
      <c r="D762" s="1"/>
    </row>
    <row r="763" spans="3:4" ht="15.75" customHeight="1" x14ac:dyDescent="0.25">
      <c r="C763" s="1"/>
      <c r="D763" s="1"/>
    </row>
    <row r="764" spans="3:4" ht="15.75" customHeight="1" x14ac:dyDescent="0.25">
      <c r="C764" s="1"/>
      <c r="D764" s="1"/>
    </row>
    <row r="765" spans="3:4" ht="15.75" customHeight="1" x14ac:dyDescent="0.25">
      <c r="C765" s="1"/>
      <c r="D765" s="1"/>
    </row>
    <row r="766" spans="3:4" ht="15.75" customHeight="1" x14ac:dyDescent="0.25">
      <c r="C766" s="1"/>
      <c r="D766" s="1"/>
    </row>
    <row r="767" spans="3:4" ht="15.75" customHeight="1" x14ac:dyDescent="0.25">
      <c r="C767" s="1"/>
      <c r="D767" s="1"/>
    </row>
    <row r="768" spans="3:4" ht="15.75" customHeight="1" x14ac:dyDescent="0.25">
      <c r="C768" s="1"/>
      <c r="D768" s="1"/>
    </row>
    <row r="769" spans="3:4" ht="15.75" customHeight="1" x14ac:dyDescent="0.25">
      <c r="C769" s="1"/>
      <c r="D769" s="1"/>
    </row>
    <row r="770" spans="3:4" ht="15.75" customHeight="1" x14ac:dyDescent="0.25">
      <c r="C770" s="1"/>
      <c r="D770" s="1"/>
    </row>
    <row r="771" spans="3:4" ht="15.75" customHeight="1" x14ac:dyDescent="0.25">
      <c r="C771" s="1"/>
      <c r="D771" s="1"/>
    </row>
    <row r="772" spans="3:4" ht="15.75" customHeight="1" x14ac:dyDescent="0.25">
      <c r="C772" s="1"/>
      <c r="D772" s="1"/>
    </row>
    <row r="773" spans="3:4" ht="15.75" customHeight="1" x14ac:dyDescent="0.25">
      <c r="C773" s="1"/>
      <c r="D773" s="1"/>
    </row>
    <row r="774" spans="3:4" ht="15.75" customHeight="1" x14ac:dyDescent="0.25">
      <c r="C774" s="1"/>
      <c r="D774" s="1"/>
    </row>
    <row r="775" spans="3:4" ht="15.75" customHeight="1" x14ac:dyDescent="0.25">
      <c r="C775" s="1"/>
      <c r="D775" s="1"/>
    </row>
    <row r="776" spans="3:4" ht="15.75" customHeight="1" x14ac:dyDescent="0.25">
      <c r="C776" s="1"/>
      <c r="D776" s="1"/>
    </row>
    <row r="777" spans="3:4" ht="15.75" customHeight="1" x14ac:dyDescent="0.25">
      <c r="C777" s="1"/>
      <c r="D777" s="1"/>
    </row>
    <row r="778" spans="3:4" ht="15.75" customHeight="1" x14ac:dyDescent="0.25">
      <c r="C778" s="1"/>
      <c r="D778" s="1"/>
    </row>
    <row r="779" spans="3:4" ht="15.75" customHeight="1" x14ac:dyDescent="0.25">
      <c r="C779" s="1"/>
      <c r="D779" s="1"/>
    </row>
    <row r="780" spans="3:4" ht="15.75" customHeight="1" x14ac:dyDescent="0.25">
      <c r="C780" s="1"/>
      <c r="D780" s="1"/>
    </row>
    <row r="781" spans="3:4" ht="15.75" customHeight="1" x14ac:dyDescent="0.25">
      <c r="C781" s="1"/>
      <c r="D781" s="1"/>
    </row>
    <row r="782" spans="3:4" ht="15.75" customHeight="1" x14ac:dyDescent="0.25">
      <c r="C782" s="1"/>
      <c r="D782" s="1"/>
    </row>
    <row r="783" spans="3:4" ht="15.75" customHeight="1" x14ac:dyDescent="0.25">
      <c r="C783" s="1"/>
      <c r="D783" s="1"/>
    </row>
    <row r="784" spans="3:4" ht="15.75" customHeight="1" x14ac:dyDescent="0.25">
      <c r="C784" s="1"/>
      <c r="D784" s="1"/>
    </row>
    <row r="785" spans="3:4" ht="15.75" customHeight="1" x14ac:dyDescent="0.25">
      <c r="C785" s="1"/>
      <c r="D785" s="1"/>
    </row>
    <row r="786" spans="3:4" ht="15.75" customHeight="1" x14ac:dyDescent="0.25">
      <c r="C786" s="1"/>
      <c r="D786" s="1"/>
    </row>
    <row r="787" spans="3:4" ht="15.75" customHeight="1" x14ac:dyDescent="0.25">
      <c r="C787" s="1"/>
      <c r="D787" s="1"/>
    </row>
    <row r="788" spans="3:4" ht="15.75" customHeight="1" x14ac:dyDescent="0.25">
      <c r="C788" s="1"/>
      <c r="D788" s="1"/>
    </row>
    <row r="789" spans="3:4" ht="15.75" customHeight="1" x14ac:dyDescent="0.25">
      <c r="C789" s="1"/>
      <c r="D789" s="1"/>
    </row>
    <row r="790" spans="3:4" ht="15.75" customHeight="1" x14ac:dyDescent="0.25">
      <c r="C790" s="1"/>
      <c r="D790" s="1"/>
    </row>
    <row r="791" spans="3:4" ht="15.75" customHeight="1" x14ac:dyDescent="0.25">
      <c r="C791" s="1"/>
      <c r="D791" s="1"/>
    </row>
    <row r="792" spans="3:4" ht="15.75" customHeight="1" x14ac:dyDescent="0.25">
      <c r="C792" s="1"/>
      <c r="D792" s="1"/>
    </row>
    <row r="793" spans="3:4" ht="15.75" customHeight="1" x14ac:dyDescent="0.25">
      <c r="C793" s="1"/>
      <c r="D793" s="1"/>
    </row>
    <row r="794" spans="3:4" ht="15.75" customHeight="1" x14ac:dyDescent="0.25">
      <c r="C794" s="1"/>
      <c r="D794" s="1"/>
    </row>
    <row r="795" spans="3:4" ht="15.75" customHeight="1" x14ac:dyDescent="0.25">
      <c r="C795" s="1"/>
      <c r="D795" s="1"/>
    </row>
    <row r="796" spans="3:4" ht="15.75" customHeight="1" x14ac:dyDescent="0.25">
      <c r="C796" s="1"/>
      <c r="D796" s="1"/>
    </row>
    <row r="797" spans="3:4" ht="15.75" customHeight="1" x14ac:dyDescent="0.25">
      <c r="C797" s="1"/>
      <c r="D797" s="1"/>
    </row>
    <row r="798" spans="3:4" ht="15.75" customHeight="1" x14ac:dyDescent="0.25">
      <c r="C798" s="1"/>
      <c r="D798" s="1"/>
    </row>
    <row r="799" spans="3:4" ht="15.75" customHeight="1" x14ac:dyDescent="0.25">
      <c r="C799" s="1"/>
      <c r="D799" s="1"/>
    </row>
    <row r="800" spans="3:4" ht="15.75" customHeight="1" x14ac:dyDescent="0.25">
      <c r="C800" s="1"/>
      <c r="D800" s="1"/>
    </row>
    <row r="801" spans="3:4" ht="15.75" customHeight="1" x14ac:dyDescent="0.25">
      <c r="C801" s="1"/>
      <c r="D801" s="1"/>
    </row>
    <row r="802" spans="3:4" ht="15.75" customHeight="1" x14ac:dyDescent="0.25">
      <c r="C802" s="1"/>
      <c r="D802" s="1"/>
    </row>
    <row r="803" spans="3:4" ht="15.75" customHeight="1" x14ac:dyDescent="0.25">
      <c r="C803" s="1"/>
      <c r="D803" s="1"/>
    </row>
    <row r="804" spans="3:4" ht="15.75" customHeight="1" x14ac:dyDescent="0.25">
      <c r="C804" s="1"/>
      <c r="D804" s="1"/>
    </row>
    <row r="805" spans="3:4" ht="15.75" customHeight="1" x14ac:dyDescent="0.25">
      <c r="C805" s="1"/>
      <c r="D805" s="1"/>
    </row>
    <row r="806" spans="3:4" ht="15.75" customHeight="1" x14ac:dyDescent="0.25">
      <c r="C806" s="1"/>
      <c r="D806" s="1"/>
    </row>
    <row r="807" spans="3:4" ht="15.75" customHeight="1" x14ac:dyDescent="0.25">
      <c r="C807" s="1"/>
      <c r="D807" s="1"/>
    </row>
    <row r="808" spans="3:4" ht="15.75" customHeight="1" x14ac:dyDescent="0.25">
      <c r="C808" s="1"/>
      <c r="D808" s="1"/>
    </row>
    <row r="809" spans="3:4" ht="15.75" customHeight="1" x14ac:dyDescent="0.25">
      <c r="C809" s="1"/>
      <c r="D809" s="1"/>
    </row>
    <row r="810" spans="3:4" ht="15.75" customHeight="1" x14ac:dyDescent="0.25">
      <c r="C810" s="1"/>
      <c r="D810" s="1"/>
    </row>
    <row r="811" spans="3:4" ht="15.75" customHeight="1" x14ac:dyDescent="0.25">
      <c r="C811" s="1"/>
      <c r="D811" s="1"/>
    </row>
    <row r="812" spans="3:4" ht="15.75" customHeight="1" x14ac:dyDescent="0.25">
      <c r="C812" s="1"/>
      <c r="D812" s="1"/>
    </row>
    <row r="813" spans="3:4" ht="15.75" customHeight="1" x14ac:dyDescent="0.25">
      <c r="C813" s="1"/>
      <c r="D813" s="1"/>
    </row>
    <row r="814" spans="3:4" ht="15.75" customHeight="1" x14ac:dyDescent="0.25">
      <c r="C814" s="1"/>
      <c r="D814" s="1"/>
    </row>
    <row r="815" spans="3:4" ht="15.75" customHeight="1" x14ac:dyDescent="0.25">
      <c r="C815" s="1"/>
      <c r="D815" s="1"/>
    </row>
    <row r="816" spans="3:4" ht="15.75" customHeight="1" x14ac:dyDescent="0.25">
      <c r="C816" s="1"/>
      <c r="D816" s="1"/>
    </row>
    <row r="817" spans="3:4" ht="15.75" customHeight="1" x14ac:dyDescent="0.25">
      <c r="C817" s="1"/>
      <c r="D817" s="1"/>
    </row>
    <row r="818" spans="3:4" ht="15.75" customHeight="1" x14ac:dyDescent="0.25">
      <c r="C818" s="1"/>
      <c r="D818" s="1"/>
    </row>
    <row r="819" spans="3:4" ht="15.75" customHeight="1" x14ac:dyDescent="0.25">
      <c r="C819" s="1"/>
      <c r="D819" s="1"/>
    </row>
    <row r="820" spans="3:4" ht="15.75" customHeight="1" x14ac:dyDescent="0.25">
      <c r="C820" s="1"/>
      <c r="D820" s="1"/>
    </row>
    <row r="821" spans="3:4" ht="15.75" customHeight="1" x14ac:dyDescent="0.25">
      <c r="C821" s="1"/>
      <c r="D821" s="1"/>
    </row>
    <row r="822" spans="3:4" ht="15.75" customHeight="1" x14ac:dyDescent="0.25">
      <c r="C822" s="1"/>
      <c r="D822" s="1"/>
    </row>
    <row r="823" spans="3:4" ht="15.75" customHeight="1" x14ac:dyDescent="0.25">
      <c r="C823" s="1"/>
      <c r="D823" s="1"/>
    </row>
    <row r="824" spans="3:4" ht="15.75" customHeight="1" x14ac:dyDescent="0.25">
      <c r="C824" s="1"/>
      <c r="D824" s="1"/>
    </row>
    <row r="825" spans="3:4" ht="15.75" customHeight="1" x14ac:dyDescent="0.25">
      <c r="C825" s="1"/>
      <c r="D825" s="1"/>
    </row>
    <row r="826" spans="3:4" ht="15.75" customHeight="1" x14ac:dyDescent="0.25">
      <c r="C826" s="1"/>
      <c r="D826" s="1"/>
    </row>
    <row r="827" spans="3:4" ht="15.75" customHeight="1" x14ac:dyDescent="0.25">
      <c r="C827" s="1"/>
      <c r="D827" s="1"/>
    </row>
    <row r="828" spans="3:4" ht="15.75" customHeight="1" x14ac:dyDescent="0.25">
      <c r="C828" s="1"/>
      <c r="D828" s="1"/>
    </row>
    <row r="829" spans="3:4" ht="15.75" customHeight="1" x14ac:dyDescent="0.25">
      <c r="C829" s="1"/>
      <c r="D829" s="1"/>
    </row>
    <row r="830" spans="3:4" ht="15.75" customHeight="1" x14ac:dyDescent="0.25">
      <c r="C830" s="1"/>
      <c r="D830" s="1"/>
    </row>
    <row r="831" spans="3:4" ht="15.75" customHeight="1" x14ac:dyDescent="0.25">
      <c r="C831" s="1"/>
      <c r="D831" s="1"/>
    </row>
    <row r="832" spans="3:4" ht="15.75" customHeight="1" x14ac:dyDescent="0.25">
      <c r="C832" s="1"/>
      <c r="D832" s="1"/>
    </row>
    <row r="833" spans="3:4" ht="15.75" customHeight="1" x14ac:dyDescent="0.25">
      <c r="C833" s="1"/>
      <c r="D833" s="1"/>
    </row>
    <row r="834" spans="3:4" ht="15.75" customHeight="1" x14ac:dyDescent="0.25">
      <c r="C834" s="1"/>
      <c r="D834" s="1"/>
    </row>
    <row r="835" spans="3:4" ht="15.75" customHeight="1" x14ac:dyDescent="0.25">
      <c r="C835" s="1"/>
      <c r="D835" s="1"/>
    </row>
    <row r="836" spans="3:4" ht="15.75" customHeight="1" x14ac:dyDescent="0.25">
      <c r="C836" s="1"/>
      <c r="D836" s="1"/>
    </row>
    <row r="837" spans="3:4" ht="15.75" customHeight="1" x14ac:dyDescent="0.25">
      <c r="C837" s="1"/>
      <c r="D837" s="1"/>
    </row>
    <row r="838" spans="3:4" ht="15.75" customHeight="1" x14ac:dyDescent="0.25">
      <c r="C838" s="1"/>
      <c r="D838" s="1"/>
    </row>
    <row r="839" spans="3:4" ht="15.75" customHeight="1" x14ac:dyDescent="0.25">
      <c r="C839" s="1"/>
      <c r="D839" s="1"/>
    </row>
    <row r="840" spans="3:4" ht="15.75" customHeight="1" x14ac:dyDescent="0.25">
      <c r="C840" s="1"/>
      <c r="D840" s="1"/>
    </row>
    <row r="841" spans="3:4" ht="15.75" customHeight="1" x14ac:dyDescent="0.25">
      <c r="C841" s="1"/>
      <c r="D841" s="1"/>
    </row>
    <row r="842" spans="3:4" ht="15.75" customHeight="1" x14ac:dyDescent="0.25">
      <c r="C842" s="1"/>
      <c r="D842" s="1"/>
    </row>
    <row r="843" spans="3:4" ht="15.75" customHeight="1" x14ac:dyDescent="0.25">
      <c r="C843" s="1"/>
      <c r="D843" s="1"/>
    </row>
    <row r="844" spans="3:4" ht="15.75" customHeight="1" x14ac:dyDescent="0.25">
      <c r="C844" s="1"/>
      <c r="D844" s="1"/>
    </row>
    <row r="845" spans="3:4" ht="15.75" customHeight="1" x14ac:dyDescent="0.25">
      <c r="C845" s="1"/>
      <c r="D845" s="1"/>
    </row>
    <row r="846" spans="3:4" ht="15.75" customHeight="1" x14ac:dyDescent="0.25">
      <c r="C846" s="1"/>
      <c r="D846" s="1"/>
    </row>
    <row r="847" spans="3:4" ht="15.75" customHeight="1" x14ac:dyDescent="0.25">
      <c r="C847" s="1"/>
      <c r="D847" s="1"/>
    </row>
    <row r="848" spans="3:4" ht="15.75" customHeight="1" x14ac:dyDescent="0.25">
      <c r="C848" s="1"/>
      <c r="D848" s="1"/>
    </row>
    <row r="849" spans="3:4" ht="15.75" customHeight="1" x14ac:dyDescent="0.25">
      <c r="C849" s="1"/>
      <c r="D849" s="1"/>
    </row>
    <row r="850" spans="3:4" ht="15.75" customHeight="1" x14ac:dyDescent="0.25">
      <c r="C850" s="1"/>
      <c r="D850" s="1"/>
    </row>
    <row r="851" spans="3:4" ht="15.75" customHeight="1" x14ac:dyDescent="0.25">
      <c r="C851" s="1"/>
      <c r="D851" s="1"/>
    </row>
    <row r="852" spans="3:4" ht="15.75" customHeight="1" x14ac:dyDescent="0.25">
      <c r="C852" s="1"/>
      <c r="D852" s="1"/>
    </row>
    <row r="853" spans="3:4" ht="15.75" customHeight="1" x14ac:dyDescent="0.25">
      <c r="C853" s="1"/>
      <c r="D853" s="1"/>
    </row>
    <row r="854" spans="3:4" ht="15.75" customHeight="1" x14ac:dyDescent="0.25">
      <c r="C854" s="1"/>
      <c r="D854" s="1"/>
    </row>
    <row r="855" spans="3:4" ht="15.75" customHeight="1" x14ac:dyDescent="0.25">
      <c r="C855" s="1"/>
      <c r="D855" s="1"/>
    </row>
    <row r="856" spans="3:4" ht="15.75" customHeight="1" x14ac:dyDescent="0.25">
      <c r="C856" s="1"/>
      <c r="D856" s="1"/>
    </row>
    <row r="857" spans="3:4" ht="15.75" customHeight="1" x14ac:dyDescent="0.25">
      <c r="C857" s="1"/>
      <c r="D857" s="1"/>
    </row>
    <row r="858" spans="3:4" ht="15.75" customHeight="1" x14ac:dyDescent="0.25">
      <c r="C858" s="1"/>
      <c r="D858" s="1"/>
    </row>
    <row r="859" spans="3:4" ht="15.75" customHeight="1" x14ac:dyDescent="0.25">
      <c r="C859" s="1"/>
      <c r="D859" s="1"/>
    </row>
    <row r="860" spans="3:4" ht="15.75" customHeight="1" x14ac:dyDescent="0.25">
      <c r="C860" s="1"/>
      <c r="D860" s="1"/>
    </row>
    <row r="861" spans="3:4" ht="15.75" customHeight="1" x14ac:dyDescent="0.25">
      <c r="C861" s="1"/>
      <c r="D861" s="1"/>
    </row>
    <row r="862" spans="3:4" ht="15.75" customHeight="1" x14ac:dyDescent="0.25">
      <c r="C862" s="1"/>
      <c r="D862" s="1"/>
    </row>
    <row r="863" spans="3:4" ht="15.75" customHeight="1" x14ac:dyDescent="0.25">
      <c r="C863" s="1"/>
      <c r="D863" s="1"/>
    </row>
    <row r="864" spans="3:4" ht="15.75" customHeight="1" x14ac:dyDescent="0.25">
      <c r="C864" s="1"/>
      <c r="D864" s="1"/>
    </row>
    <row r="865" spans="3:4" ht="15.75" customHeight="1" x14ac:dyDescent="0.25">
      <c r="C865" s="1"/>
      <c r="D865" s="1"/>
    </row>
    <row r="866" spans="3:4" ht="15.75" customHeight="1" x14ac:dyDescent="0.25">
      <c r="C866" s="1"/>
      <c r="D866" s="1"/>
    </row>
    <row r="867" spans="3:4" ht="15.75" customHeight="1" x14ac:dyDescent="0.25">
      <c r="C867" s="1"/>
      <c r="D867" s="1"/>
    </row>
    <row r="868" spans="3:4" ht="15.75" customHeight="1" x14ac:dyDescent="0.25">
      <c r="C868" s="1"/>
      <c r="D868" s="1"/>
    </row>
    <row r="869" spans="3:4" ht="15.75" customHeight="1" x14ac:dyDescent="0.25">
      <c r="C869" s="1"/>
      <c r="D869" s="1"/>
    </row>
    <row r="870" spans="3:4" ht="15.75" customHeight="1" x14ac:dyDescent="0.25">
      <c r="C870" s="1"/>
      <c r="D870" s="1"/>
    </row>
    <row r="871" spans="3:4" ht="15.75" customHeight="1" x14ac:dyDescent="0.25">
      <c r="C871" s="1"/>
      <c r="D871" s="1"/>
    </row>
    <row r="872" spans="3:4" ht="15.75" customHeight="1" x14ac:dyDescent="0.25">
      <c r="C872" s="1"/>
      <c r="D872" s="1"/>
    </row>
    <row r="873" spans="3:4" ht="15.75" customHeight="1" x14ac:dyDescent="0.25">
      <c r="C873" s="1"/>
      <c r="D873" s="1"/>
    </row>
    <row r="874" spans="3:4" ht="15.75" customHeight="1" x14ac:dyDescent="0.25">
      <c r="C874" s="1"/>
      <c r="D874" s="1"/>
    </row>
    <row r="875" spans="3:4" ht="15.75" customHeight="1" x14ac:dyDescent="0.25">
      <c r="C875" s="1"/>
      <c r="D875" s="1"/>
    </row>
    <row r="876" spans="3:4" ht="15.75" customHeight="1" x14ac:dyDescent="0.25">
      <c r="C876" s="1"/>
      <c r="D876" s="1"/>
    </row>
    <row r="877" spans="3:4" ht="15.75" customHeight="1" x14ac:dyDescent="0.25">
      <c r="C877" s="1"/>
      <c r="D877" s="1"/>
    </row>
    <row r="878" spans="3:4" ht="15.75" customHeight="1" x14ac:dyDescent="0.25">
      <c r="C878" s="1"/>
      <c r="D878" s="1"/>
    </row>
    <row r="879" spans="3:4" ht="15.75" customHeight="1" x14ac:dyDescent="0.25">
      <c r="C879" s="1"/>
      <c r="D879" s="1"/>
    </row>
    <row r="880" spans="3:4" ht="15.75" customHeight="1" x14ac:dyDescent="0.25">
      <c r="C880" s="1"/>
      <c r="D880" s="1"/>
    </row>
    <row r="881" spans="3:4" ht="15.75" customHeight="1" x14ac:dyDescent="0.25">
      <c r="C881" s="1"/>
      <c r="D881" s="1"/>
    </row>
    <row r="882" spans="3:4" ht="15.75" customHeight="1" x14ac:dyDescent="0.25">
      <c r="C882" s="1"/>
      <c r="D882" s="1"/>
    </row>
    <row r="883" spans="3:4" ht="15.75" customHeight="1" x14ac:dyDescent="0.25">
      <c r="C883" s="1"/>
      <c r="D883" s="1"/>
    </row>
    <row r="884" spans="3:4" ht="15.75" customHeight="1" x14ac:dyDescent="0.25">
      <c r="C884" s="1"/>
      <c r="D884" s="1"/>
    </row>
    <row r="885" spans="3:4" ht="15.75" customHeight="1" x14ac:dyDescent="0.25">
      <c r="C885" s="1"/>
      <c r="D885" s="1"/>
    </row>
    <row r="886" spans="3:4" ht="15.75" customHeight="1" x14ac:dyDescent="0.25">
      <c r="C886" s="1"/>
      <c r="D886" s="1"/>
    </row>
    <row r="887" spans="3:4" ht="15.75" customHeight="1" x14ac:dyDescent="0.25">
      <c r="C887" s="1"/>
      <c r="D887" s="1"/>
    </row>
    <row r="888" spans="3:4" ht="15.75" customHeight="1" x14ac:dyDescent="0.25">
      <c r="C888" s="1"/>
      <c r="D888" s="1"/>
    </row>
    <row r="889" spans="3:4" ht="15.75" customHeight="1" x14ac:dyDescent="0.25">
      <c r="C889" s="1"/>
      <c r="D889" s="1"/>
    </row>
    <row r="890" spans="3:4" ht="15.75" customHeight="1" x14ac:dyDescent="0.25">
      <c r="C890" s="1"/>
      <c r="D890" s="1"/>
    </row>
    <row r="891" spans="3:4" ht="15.75" customHeight="1" x14ac:dyDescent="0.25">
      <c r="C891" s="1"/>
      <c r="D891" s="1"/>
    </row>
    <row r="892" spans="3:4" ht="15.75" customHeight="1" x14ac:dyDescent="0.25">
      <c r="C892" s="1"/>
      <c r="D892" s="1"/>
    </row>
    <row r="893" spans="3:4" ht="15.75" customHeight="1" x14ac:dyDescent="0.25">
      <c r="C893" s="1"/>
      <c r="D893" s="1"/>
    </row>
    <row r="894" spans="3:4" ht="15.75" customHeight="1" x14ac:dyDescent="0.25">
      <c r="C894" s="1"/>
      <c r="D894" s="1"/>
    </row>
    <row r="895" spans="3:4" ht="15.75" customHeight="1" x14ac:dyDescent="0.25">
      <c r="C895" s="1"/>
      <c r="D895" s="1"/>
    </row>
    <row r="896" spans="3:4" ht="15.75" customHeight="1" x14ac:dyDescent="0.25">
      <c r="C896" s="1"/>
      <c r="D896" s="1"/>
    </row>
    <row r="897" spans="3:4" ht="15.75" customHeight="1" x14ac:dyDescent="0.25">
      <c r="C897" s="1"/>
      <c r="D897" s="1"/>
    </row>
    <row r="898" spans="3:4" ht="15.75" customHeight="1" x14ac:dyDescent="0.25">
      <c r="C898" s="1"/>
      <c r="D898" s="1"/>
    </row>
    <row r="899" spans="3:4" ht="15.75" customHeight="1" x14ac:dyDescent="0.25">
      <c r="C899" s="1"/>
      <c r="D899" s="1"/>
    </row>
    <row r="900" spans="3:4" ht="15.75" customHeight="1" x14ac:dyDescent="0.25">
      <c r="C900" s="1"/>
      <c r="D900" s="1"/>
    </row>
    <row r="901" spans="3:4" ht="15.75" customHeight="1" x14ac:dyDescent="0.25">
      <c r="C901" s="1"/>
      <c r="D901" s="1"/>
    </row>
    <row r="902" spans="3:4" ht="15.75" customHeight="1" x14ac:dyDescent="0.25">
      <c r="C902" s="1"/>
      <c r="D902" s="1"/>
    </row>
    <row r="903" spans="3:4" ht="15.75" customHeight="1" x14ac:dyDescent="0.25">
      <c r="C903" s="1"/>
      <c r="D903" s="1"/>
    </row>
    <row r="904" spans="3:4" ht="15.75" customHeight="1" x14ac:dyDescent="0.25">
      <c r="C904" s="1"/>
      <c r="D904" s="1"/>
    </row>
    <row r="905" spans="3:4" ht="15.75" customHeight="1" x14ac:dyDescent="0.25">
      <c r="C905" s="1"/>
      <c r="D905" s="1"/>
    </row>
    <row r="906" spans="3:4" ht="15.75" customHeight="1" x14ac:dyDescent="0.25">
      <c r="C906" s="1"/>
      <c r="D906" s="1"/>
    </row>
    <row r="907" spans="3:4" ht="15.75" customHeight="1" x14ac:dyDescent="0.25">
      <c r="C907" s="1"/>
      <c r="D907" s="1"/>
    </row>
    <row r="908" spans="3:4" ht="15.75" customHeight="1" x14ac:dyDescent="0.25">
      <c r="C908" s="1"/>
      <c r="D908" s="1"/>
    </row>
    <row r="909" spans="3:4" ht="15.75" customHeight="1" x14ac:dyDescent="0.25">
      <c r="C909" s="1"/>
      <c r="D909" s="1"/>
    </row>
    <row r="910" spans="3:4" ht="15.75" customHeight="1" x14ac:dyDescent="0.25">
      <c r="C910" s="1"/>
      <c r="D910" s="1"/>
    </row>
    <row r="911" spans="3:4" ht="15.75" customHeight="1" x14ac:dyDescent="0.25">
      <c r="C911" s="1"/>
      <c r="D911" s="1"/>
    </row>
    <row r="912" spans="3:4" ht="15.75" customHeight="1" x14ac:dyDescent="0.25">
      <c r="C912" s="1"/>
      <c r="D912" s="1"/>
    </row>
    <row r="913" spans="3:4" ht="15.75" customHeight="1" x14ac:dyDescent="0.25">
      <c r="C913" s="1"/>
      <c r="D913" s="1"/>
    </row>
    <row r="914" spans="3:4" ht="15.75" customHeight="1" x14ac:dyDescent="0.25">
      <c r="C914" s="1"/>
      <c r="D914" s="1"/>
    </row>
    <row r="915" spans="3:4" ht="15.75" customHeight="1" x14ac:dyDescent="0.25">
      <c r="C915" s="1"/>
      <c r="D915" s="1"/>
    </row>
    <row r="916" spans="3:4" ht="15.75" customHeight="1" x14ac:dyDescent="0.25">
      <c r="C916" s="1"/>
      <c r="D916" s="1"/>
    </row>
    <row r="917" spans="3:4" ht="15.75" customHeight="1" x14ac:dyDescent="0.25">
      <c r="C917" s="1"/>
      <c r="D917" s="1"/>
    </row>
    <row r="918" spans="3:4" ht="15.75" customHeight="1" x14ac:dyDescent="0.25">
      <c r="C918" s="1"/>
      <c r="D918" s="1"/>
    </row>
    <row r="919" spans="3:4" ht="15.75" customHeight="1" x14ac:dyDescent="0.25">
      <c r="C919" s="1"/>
      <c r="D919" s="1"/>
    </row>
    <row r="920" spans="3:4" ht="15.75" customHeight="1" x14ac:dyDescent="0.25">
      <c r="C920" s="1"/>
      <c r="D920" s="1"/>
    </row>
    <row r="921" spans="3:4" ht="15.75" customHeight="1" x14ac:dyDescent="0.25">
      <c r="C921" s="1"/>
      <c r="D921" s="1"/>
    </row>
    <row r="922" spans="3:4" ht="15.75" customHeight="1" x14ac:dyDescent="0.25">
      <c r="C922" s="1"/>
      <c r="D922" s="1"/>
    </row>
    <row r="923" spans="3:4" ht="15.75" customHeight="1" x14ac:dyDescent="0.25">
      <c r="C923" s="1"/>
      <c r="D923" s="1"/>
    </row>
    <row r="924" spans="3:4" ht="15.75" customHeight="1" x14ac:dyDescent="0.25">
      <c r="C924" s="1"/>
      <c r="D924" s="1"/>
    </row>
    <row r="925" spans="3:4" ht="15.75" customHeight="1" x14ac:dyDescent="0.25">
      <c r="C925" s="1"/>
      <c r="D925" s="1"/>
    </row>
    <row r="926" spans="3:4" ht="15.75" customHeight="1" x14ac:dyDescent="0.25">
      <c r="C926" s="1"/>
      <c r="D926" s="1"/>
    </row>
    <row r="927" spans="3:4" ht="15.75" customHeight="1" x14ac:dyDescent="0.25">
      <c r="C927" s="1"/>
      <c r="D927" s="1"/>
    </row>
    <row r="928" spans="3:4" ht="15.75" customHeight="1" x14ac:dyDescent="0.25">
      <c r="C928" s="1"/>
      <c r="D928" s="1"/>
    </row>
    <row r="929" spans="3:4" ht="15.75" customHeight="1" x14ac:dyDescent="0.25">
      <c r="C929" s="1"/>
      <c r="D929" s="1"/>
    </row>
    <row r="930" spans="3:4" ht="15.75" customHeight="1" x14ac:dyDescent="0.25">
      <c r="C930" s="1"/>
      <c r="D930" s="1"/>
    </row>
    <row r="931" spans="3:4" ht="15.75" customHeight="1" x14ac:dyDescent="0.25">
      <c r="C931" s="1"/>
      <c r="D931" s="1"/>
    </row>
    <row r="932" spans="3:4" ht="15.75" customHeight="1" x14ac:dyDescent="0.25">
      <c r="C932" s="1"/>
      <c r="D932" s="1"/>
    </row>
    <row r="933" spans="3:4" ht="15.75" customHeight="1" x14ac:dyDescent="0.25">
      <c r="C933" s="1"/>
      <c r="D933" s="1"/>
    </row>
    <row r="934" spans="3:4" ht="15.75" customHeight="1" x14ac:dyDescent="0.25">
      <c r="C934" s="1"/>
      <c r="D934" s="1"/>
    </row>
    <row r="935" spans="3:4" ht="15.75" customHeight="1" x14ac:dyDescent="0.25">
      <c r="C935" s="1"/>
      <c r="D935" s="1"/>
    </row>
    <row r="936" spans="3:4" ht="15.75" customHeight="1" x14ac:dyDescent="0.25">
      <c r="C936" s="1"/>
      <c r="D936" s="1"/>
    </row>
    <row r="937" spans="3:4" ht="15.75" customHeight="1" x14ac:dyDescent="0.25">
      <c r="C937" s="1"/>
      <c r="D937" s="1"/>
    </row>
    <row r="938" spans="3:4" ht="15.75" customHeight="1" x14ac:dyDescent="0.25">
      <c r="C938" s="1"/>
      <c r="D938" s="1"/>
    </row>
    <row r="939" spans="3:4" ht="15.75" customHeight="1" x14ac:dyDescent="0.25">
      <c r="C939" s="1"/>
      <c r="D939" s="1"/>
    </row>
    <row r="940" spans="3:4" ht="15.75" customHeight="1" x14ac:dyDescent="0.25">
      <c r="C940" s="1"/>
      <c r="D940" s="1"/>
    </row>
    <row r="941" spans="3:4" ht="15.75" customHeight="1" x14ac:dyDescent="0.25">
      <c r="C941" s="1"/>
      <c r="D941" s="1"/>
    </row>
    <row r="942" spans="3:4" ht="15.75" customHeight="1" x14ac:dyDescent="0.25">
      <c r="C942" s="1"/>
      <c r="D942" s="1"/>
    </row>
    <row r="943" spans="3:4" ht="15.75" customHeight="1" x14ac:dyDescent="0.25">
      <c r="C943" s="1"/>
      <c r="D943" s="1"/>
    </row>
    <row r="944" spans="3:4" ht="15.75" customHeight="1" x14ac:dyDescent="0.25">
      <c r="C944" s="1"/>
      <c r="D944" s="1"/>
    </row>
    <row r="945" spans="3:4" ht="15.75" customHeight="1" x14ac:dyDescent="0.25">
      <c r="C945" s="1"/>
      <c r="D945" s="1"/>
    </row>
    <row r="946" spans="3:4" ht="15.75" customHeight="1" x14ac:dyDescent="0.25">
      <c r="C946" s="1"/>
      <c r="D946" s="1"/>
    </row>
    <row r="947" spans="3:4" ht="15.75" customHeight="1" x14ac:dyDescent="0.25">
      <c r="C947" s="1"/>
      <c r="D947" s="1"/>
    </row>
    <row r="948" spans="3:4" ht="15.75" customHeight="1" x14ac:dyDescent="0.25">
      <c r="C948" s="1"/>
      <c r="D948" s="1"/>
    </row>
    <row r="949" spans="3:4" ht="15.75" customHeight="1" x14ac:dyDescent="0.25">
      <c r="C949" s="1"/>
      <c r="D949" s="1"/>
    </row>
    <row r="950" spans="3:4" ht="15.75" customHeight="1" x14ac:dyDescent="0.25">
      <c r="C950" s="1"/>
      <c r="D950" s="1"/>
    </row>
    <row r="951" spans="3:4" ht="15.75" customHeight="1" x14ac:dyDescent="0.25">
      <c r="C951" s="1"/>
      <c r="D951" s="1"/>
    </row>
    <row r="952" spans="3:4" ht="15.75" customHeight="1" x14ac:dyDescent="0.25">
      <c r="C952" s="1"/>
      <c r="D952" s="1"/>
    </row>
    <row r="953" spans="3:4" ht="15.75" customHeight="1" x14ac:dyDescent="0.25">
      <c r="C953" s="1"/>
      <c r="D953" s="1"/>
    </row>
    <row r="954" spans="3:4" ht="15.75" customHeight="1" x14ac:dyDescent="0.25">
      <c r="C954" s="1"/>
      <c r="D954" s="1"/>
    </row>
    <row r="955" spans="3:4" ht="15.75" customHeight="1" x14ac:dyDescent="0.25">
      <c r="C955" s="1"/>
      <c r="D955" s="1"/>
    </row>
    <row r="956" spans="3:4" ht="15.75" customHeight="1" x14ac:dyDescent="0.25">
      <c r="C956" s="1"/>
      <c r="D956" s="1"/>
    </row>
    <row r="957" spans="3:4" ht="15.75" customHeight="1" x14ac:dyDescent="0.25">
      <c r="C957" s="1"/>
      <c r="D957" s="1"/>
    </row>
    <row r="958" spans="3:4" ht="15.75" customHeight="1" x14ac:dyDescent="0.25">
      <c r="C958" s="1"/>
      <c r="D958" s="1"/>
    </row>
    <row r="959" spans="3:4" ht="15.75" customHeight="1" x14ac:dyDescent="0.25">
      <c r="C959" s="1"/>
      <c r="D959" s="1"/>
    </row>
    <row r="960" spans="3:4" ht="15.75" customHeight="1" x14ac:dyDescent="0.25">
      <c r="C960" s="1"/>
      <c r="D960" s="1"/>
    </row>
    <row r="961" spans="3:4" ht="15.75" customHeight="1" x14ac:dyDescent="0.25">
      <c r="C961" s="1"/>
      <c r="D961" s="1"/>
    </row>
    <row r="962" spans="3:4" ht="15.75" customHeight="1" x14ac:dyDescent="0.25">
      <c r="C962" s="1"/>
      <c r="D962" s="1"/>
    </row>
    <row r="963" spans="3:4" ht="15.75" customHeight="1" x14ac:dyDescent="0.25">
      <c r="C963" s="1"/>
      <c r="D963" s="1"/>
    </row>
    <row r="964" spans="3:4" ht="15.75" customHeight="1" x14ac:dyDescent="0.25">
      <c r="C964" s="1"/>
      <c r="D964" s="1"/>
    </row>
    <row r="965" spans="3:4" ht="15.75" customHeight="1" x14ac:dyDescent="0.25">
      <c r="C965" s="1"/>
      <c r="D965" s="1"/>
    </row>
    <row r="966" spans="3:4" ht="15.75" customHeight="1" x14ac:dyDescent="0.25">
      <c r="C966" s="1"/>
      <c r="D966" s="1"/>
    </row>
    <row r="967" spans="3:4" ht="15.75" customHeight="1" x14ac:dyDescent="0.25">
      <c r="C967" s="1"/>
      <c r="D967" s="1"/>
    </row>
    <row r="968" spans="3:4" ht="15.75" customHeight="1" x14ac:dyDescent="0.25">
      <c r="C968" s="1"/>
      <c r="D968" s="1"/>
    </row>
    <row r="969" spans="3:4" ht="15.75" customHeight="1" x14ac:dyDescent="0.25">
      <c r="C969" s="1"/>
      <c r="D969" s="1"/>
    </row>
    <row r="970" spans="3:4" ht="15.75" customHeight="1" x14ac:dyDescent="0.25">
      <c r="C970" s="1"/>
      <c r="D970" s="1"/>
    </row>
    <row r="971" spans="3:4" ht="15.75" customHeight="1" x14ac:dyDescent="0.25">
      <c r="C971" s="1"/>
      <c r="D971" s="1"/>
    </row>
    <row r="972" spans="3:4" ht="15.75" customHeight="1" x14ac:dyDescent="0.25">
      <c r="C972" s="1"/>
      <c r="D972" s="1"/>
    </row>
    <row r="973" spans="3:4" ht="15.75" customHeight="1" x14ac:dyDescent="0.25">
      <c r="C973" s="1"/>
      <c r="D973" s="1"/>
    </row>
    <row r="974" spans="3:4" ht="15.75" customHeight="1" x14ac:dyDescent="0.25">
      <c r="C974" s="1"/>
      <c r="D974" s="1"/>
    </row>
    <row r="975" spans="3:4" ht="15.75" customHeight="1" x14ac:dyDescent="0.25">
      <c r="C975" s="1"/>
      <c r="D975" s="1"/>
    </row>
    <row r="976" spans="3:4" ht="15.75" customHeight="1" x14ac:dyDescent="0.25">
      <c r="C976" s="1"/>
      <c r="D976" s="1"/>
    </row>
    <row r="977" spans="3:4" ht="15.75" customHeight="1" x14ac:dyDescent="0.25">
      <c r="C977" s="1"/>
      <c r="D977" s="1"/>
    </row>
    <row r="978" spans="3:4" ht="15.75" customHeight="1" x14ac:dyDescent="0.25">
      <c r="C978" s="1"/>
      <c r="D978" s="1"/>
    </row>
    <row r="979" spans="3:4" ht="15.75" customHeight="1" x14ac:dyDescent="0.25">
      <c r="C979" s="1"/>
      <c r="D979" s="1"/>
    </row>
    <row r="980" spans="3:4" ht="15.75" customHeight="1" x14ac:dyDescent="0.25">
      <c r="C980" s="1"/>
      <c r="D980" s="1"/>
    </row>
    <row r="981" spans="3:4" ht="15.75" customHeight="1" x14ac:dyDescent="0.25">
      <c r="C981" s="1"/>
      <c r="D981" s="1"/>
    </row>
    <row r="982" spans="3:4" ht="15.75" customHeight="1" x14ac:dyDescent="0.25">
      <c r="C982" s="1"/>
      <c r="D982" s="1"/>
    </row>
    <row r="983" spans="3:4" ht="15.75" customHeight="1" x14ac:dyDescent="0.25">
      <c r="C983" s="1"/>
      <c r="D983" s="1"/>
    </row>
    <row r="984" spans="3:4" ht="15.75" customHeight="1" x14ac:dyDescent="0.25">
      <c r="C984" s="1"/>
      <c r="D984" s="1"/>
    </row>
    <row r="985" spans="3:4" ht="15.75" customHeight="1" x14ac:dyDescent="0.25">
      <c r="C985" s="1"/>
      <c r="D985" s="1"/>
    </row>
    <row r="986" spans="3:4" ht="15.75" customHeight="1" x14ac:dyDescent="0.25">
      <c r="C986" s="1"/>
      <c r="D986" s="1"/>
    </row>
    <row r="987" spans="3:4" ht="15.75" customHeight="1" x14ac:dyDescent="0.25">
      <c r="C987" s="1"/>
      <c r="D987" s="1"/>
    </row>
    <row r="988" spans="3:4" ht="15.75" customHeight="1" x14ac:dyDescent="0.25">
      <c r="C988" s="1"/>
      <c r="D988" s="1"/>
    </row>
    <row r="989" spans="3:4" ht="15.75" customHeight="1" x14ac:dyDescent="0.25">
      <c r="C989" s="1"/>
      <c r="D989" s="1"/>
    </row>
    <row r="990" spans="3:4" ht="15.75" customHeight="1" x14ac:dyDescent="0.25">
      <c r="C990" s="1"/>
      <c r="D990" s="1"/>
    </row>
    <row r="991" spans="3:4" ht="15.75" customHeight="1" x14ac:dyDescent="0.25">
      <c r="C991" s="1"/>
      <c r="D991" s="1"/>
    </row>
    <row r="992" spans="3:4" ht="15.75" customHeight="1" x14ac:dyDescent="0.25">
      <c r="C992" s="1"/>
      <c r="D992" s="1"/>
    </row>
    <row r="993" spans="3:4" ht="15.75" customHeight="1" x14ac:dyDescent="0.25">
      <c r="C993" s="1"/>
      <c r="D993" s="1"/>
    </row>
    <row r="994" spans="3:4" ht="15.75" customHeight="1" x14ac:dyDescent="0.25">
      <c r="C994" s="1"/>
      <c r="D994" s="1"/>
    </row>
    <row r="995" spans="3:4" ht="15.75" customHeight="1" x14ac:dyDescent="0.25">
      <c r="C995" s="1"/>
      <c r="D995" s="1"/>
    </row>
    <row r="996" spans="3:4" ht="15.75" customHeight="1" x14ac:dyDescent="0.25">
      <c r="C996" s="1"/>
      <c r="D996" s="1"/>
    </row>
    <row r="997" spans="3:4" ht="15.75" customHeight="1" x14ac:dyDescent="0.25">
      <c r="C997" s="1"/>
      <c r="D997" s="1"/>
    </row>
    <row r="998" spans="3:4" ht="15.75" customHeight="1" x14ac:dyDescent="0.25">
      <c r="C998" s="1"/>
      <c r="D998" s="1"/>
    </row>
    <row r="999" spans="3:4" ht="15.75" customHeight="1" x14ac:dyDescent="0.25">
      <c r="C999" s="1"/>
      <c r="D999" s="1"/>
    </row>
    <row r="1000" spans="3:4" ht="15.75" customHeight="1" x14ac:dyDescent="0.25">
      <c r="C1000" s="1"/>
      <c r="D1000" s="1"/>
    </row>
    <row r="1001" spans="3:4" ht="15.75" customHeight="1" x14ac:dyDescent="0.25">
      <c r="C1001" s="1"/>
      <c r="D1001" s="1"/>
    </row>
    <row r="1002" spans="3:4" ht="15.75" customHeight="1" x14ac:dyDescent="0.25">
      <c r="C1002" s="1"/>
      <c r="D1002" s="1"/>
    </row>
    <row r="1003" spans="3:4" ht="15.75" customHeight="1" x14ac:dyDescent="0.25">
      <c r="C1003" s="1"/>
      <c r="D1003" s="1"/>
    </row>
    <row r="1004" spans="3:4" ht="15.75" customHeight="1" x14ac:dyDescent="0.25">
      <c r="C1004" s="1"/>
      <c r="D1004" s="1"/>
    </row>
    <row r="1005" spans="3:4" ht="15.75" customHeight="1" x14ac:dyDescent="0.25">
      <c r="C1005" s="1"/>
      <c r="D1005" s="1"/>
    </row>
    <row r="1006" spans="3:4" ht="15.75" customHeight="1" x14ac:dyDescent="0.25">
      <c r="C1006" s="1"/>
      <c r="D1006" s="1"/>
    </row>
    <row r="1007" spans="3:4" ht="15.75" customHeight="1" x14ac:dyDescent="0.25">
      <c r="C1007" s="1"/>
      <c r="D1007" s="1"/>
    </row>
    <row r="1008" spans="3:4" ht="15.75" customHeight="1" x14ac:dyDescent="0.25">
      <c r="C1008" s="1"/>
      <c r="D1008" s="1"/>
    </row>
    <row r="1009" spans="3:4" ht="15.75" customHeight="1" x14ac:dyDescent="0.25">
      <c r="C1009" s="1"/>
      <c r="D1009" s="1"/>
    </row>
    <row r="1010" spans="3:4" ht="15.75" customHeight="1" x14ac:dyDescent="0.25">
      <c r="C1010" s="1"/>
      <c r="D1010" s="1"/>
    </row>
    <row r="1011" spans="3:4" ht="15.75" customHeight="1" x14ac:dyDescent="0.25">
      <c r="C1011" s="1"/>
      <c r="D1011" s="1"/>
    </row>
    <row r="1012" spans="3:4" ht="15.75" customHeight="1" x14ac:dyDescent="0.25">
      <c r="C1012" s="1"/>
      <c r="D1012" s="1"/>
    </row>
    <row r="1013" spans="3:4" ht="15.75" customHeight="1" x14ac:dyDescent="0.25">
      <c r="C1013" s="1"/>
      <c r="D1013" s="1"/>
    </row>
    <row r="1014" spans="3:4" ht="15.75" customHeight="1" x14ac:dyDescent="0.25">
      <c r="C1014" s="1"/>
      <c r="D1014" s="1"/>
    </row>
    <row r="1015" spans="3:4" ht="15.75" customHeight="1" x14ac:dyDescent="0.25">
      <c r="C1015" s="1"/>
      <c r="D1015" s="1"/>
    </row>
    <row r="1016" spans="3:4" ht="15.75" customHeight="1" x14ac:dyDescent="0.25">
      <c r="C1016" s="1"/>
      <c r="D1016" s="1"/>
    </row>
    <row r="1017" spans="3:4" ht="15.75" customHeight="1" x14ac:dyDescent="0.25">
      <c r="C1017" s="1"/>
      <c r="D1017" s="1"/>
    </row>
    <row r="1018" spans="3:4" ht="15.75" customHeight="1" x14ac:dyDescent="0.25">
      <c r="C1018" s="1"/>
      <c r="D1018" s="1"/>
    </row>
    <row r="1019" spans="3:4" ht="15.75" customHeight="1" x14ac:dyDescent="0.25">
      <c r="C1019" s="1"/>
      <c r="D1019" s="1"/>
    </row>
    <row r="1020" spans="3:4" ht="15.75" customHeight="1" x14ac:dyDescent="0.25">
      <c r="C1020" s="1"/>
      <c r="D1020" s="1"/>
    </row>
    <row r="1021" spans="3:4" ht="15.75" customHeight="1" x14ac:dyDescent="0.25">
      <c r="C1021" s="1"/>
      <c r="D1021" s="1"/>
    </row>
    <row r="1022" spans="3:4" ht="15.75" customHeight="1" x14ac:dyDescent="0.25">
      <c r="C1022" s="1"/>
      <c r="D1022" s="1"/>
    </row>
    <row r="1023" spans="3:4" ht="15.75" customHeight="1" x14ac:dyDescent="0.25">
      <c r="C1023" s="1"/>
      <c r="D1023" s="1"/>
    </row>
    <row r="1024" spans="3:4" ht="15.75" customHeight="1" x14ac:dyDescent="0.25">
      <c r="C1024" s="1"/>
      <c r="D1024" s="1"/>
    </row>
    <row r="1025" spans="3:4" ht="15.75" customHeight="1" x14ac:dyDescent="0.25">
      <c r="C1025" s="1"/>
      <c r="D1025" s="1"/>
    </row>
    <row r="1026" spans="3:4" ht="15.75" customHeight="1" x14ac:dyDescent="0.25">
      <c r="C1026" s="1"/>
      <c r="D1026" s="1"/>
    </row>
    <row r="1027" spans="3:4" ht="15" customHeight="1" x14ac:dyDescent="0.25">
      <c r="C1027" s="1"/>
      <c r="D1027" s="1"/>
    </row>
    <row r="1028" spans="3:4" ht="15" customHeight="1" x14ac:dyDescent="0.25">
      <c r="C1028" s="1"/>
      <c r="D1028" s="1"/>
    </row>
    <row r="1029" spans="3:4" ht="15" customHeight="1" x14ac:dyDescent="0.25">
      <c r="C1029" s="1"/>
      <c r="D1029" s="1"/>
    </row>
    <row r="1030" spans="3:4" ht="15" customHeight="1" x14ac:dyDescent="0.25">
      <c r="C1030" s="1"/>
      <c r="D1030" s="1"/>
    </row>
    <row r="1031" spans="3:4" ht="15" customHeight="1" x14ac:dyDescent="0.25">
      <c r="C1031" s="1"/>
      <c r="D1031" s="1"/>
    </row>
    <row r="1032" spans="3:4" ht="15" customHeight="1" x14ac:dyDescent="0.25">
      <c r="C1032" s="1"/>
      <c r="D1032" s="1"/>
    </row>
    <row r="1033" spans="3:4" ht="15" customHeight="1" x14ac:dyDescent="0.25">
      <c r="C1033" s="1"/>
      <c r="D1033" s="1"/>
    </row>
    <row r="1034" spans="3:4" ht="15" customHeight="1" x14ac:dyDescent="0.25">
      <c r="C1034" s="1"/>
      <c r="D1034" s="1"/>
    </row>
    <row r="1035" spans="3:4" ht="15" customHeight="1" x14ac:dyDescent="0.25">
      <c r="C1035" s="1"/>
      <c r="D1035" s="1"/>
    </row>
    <row r="1036" spans="3:4" ht="15" customHeight="1" x14ac:dyDescent="0.25">
      <c r="C1036" s="1"/>
      <c r="D1036" s="1"/>
    </row>
    <row r="1037" spans="3:4" ht="15" customHeight="1" x14ac:dyDescent="0.25">
      <c r="C1037" s="1"/>
      <c r="D1037" s="1"/>
    </row>
    <row r="1038" spans="3:4" ht="15" customHeight="1" x14ac:dyDescent="0.25">
      <c r="C1038" s="1"/>
      <c r="D1038" s="1"/>
    </row>
    <row r="1039" spans="3:4" ht="15" customHeight="1" x14ac:dyDescent="0.25">
      <c r="C1039" s="1"/>
      <c r="D1039" s="1"/>
    </row>
    <row r="1040" spans="3:4" ht="15" customHeight="1" x14ac:dyDescent="0.25">
      <c r="C1040" s="1"/>
      <c r="D1040" s="1"/>
    </row>
    <row r="1041" spans="3:4" ht="15" customHeight="1" x14ac:dyDescent="0.25">
      <c r="C1041" s="1"/>
      <c r="D1041" s="1"/>
    </row>
    <row r="1042" spans="3:4" ht="15" customHeight="1" x14ac:dyDescent="0.25">
      <c r="C1042" s="1"/>
      <c r="D1042" s="1"/>
    </row>
    <row r="1043" spans="3:4" ht="15" customHeight="1" x14ac:dyDescent="0.25">
      <c r="C1043" s="1"/>
      <c r="D1043" s="1"/>
    </row>
    <row r="1044" spans="3:4" ht="15" customHeight="1" x14ac:dyDescent="0.25">
      <c r="C1044" s="1"/>
      <c r="D1044" s="1"/>
    </row>
    <row r="1045" spans="3:4" ht="15" customHeight="1" x14ac:dyDescent="0.25">
      <c r="C1045" s="1"/>
      <c r="D1045" s="1"/>
    </row>
    <row r="1046" spans="3:4" ht="15" customHeight="1" x14ac:dyDescent="0.25">
      <c r="C1046" s="1"/>
      <c r="D1046" s="1"/>
    </row>
    <row r="1047" spans="3:4" ht="15" customHeight="1" x14ac:dyDescent="0.25">
      <c r="C1047" s="1"/>
      <c r="D1047" s="1"/>
    </row>
    <row r="1048" spans="3:4" ht="15" customHeight="1" x14ac:dyDescent="0.25">
      <c r="C1048" s="1"/>
      <c r="D1048" s="1"/>
    </row>
    <row r="1049" spans="3:4" ht="15" customHeight="1" x14ac:dyDescent="0.25">
      <c r="C1049" s="1"/>
      <c r="D1049" s="1"/>
    </row>
    <row r="1050" spans="3:4" ht="15" customHeight="1" x14ac:dyDescent="0.25">
      <c r="C1050" s="1"/>
      <c r="D1050" s="1"/>
    </row>
    <row r="1051" spans="3:4" ht="15" customHeight="1" x14ac:dyDescent="0.25">
      <c r="C1051" s="1"/>
      <c r="D1051" s="1"/>
    </row>
    <row r="1052" spans="3:4" ht="15" customHeight="1" x14ac:dyDescent="0.25">
      <c r="C1052" s="1"/>
      <c r="D1052" s="1"/>
    </row>
    <row r="1053" spans="3:4" ht="15" customHeight="1" x14ac:dyDescent="0.25">
      <c r="C1053" s="1"/>
      <c r="D1053" s="1"/>
    </row>
    <row r="1054" spans="3:4" ht="15" customHeight="1" x14ac:dyDescent="0.25">
      <c r="C1054" s="1"/>
      <c r="D1054" s="1"/>
    </row>
    <row r="1055" spans="3:4" ht="15" customHeight="1" x14ac:dyDescent="0.25">
      <c r="C1055" s="1"/>
      <c r="D1055" s="1"/>
    </row>
    <row r="1056" spans="3:4" ht="15" customHeight="1" x14ac:dyDescent="0.25">
      <c r="C1056" s="1"/>
      <c r="D1056" s="1"/>
    </row>
    <row r="1057" spans="3:4" ht="15" customHeight="1" x14ac:dyDescent="0.25">
      <c r="C1057" s="1"/>
      <c r="D1057" s="1"/>
    </row>
    <row r="1058" spans="3:4" ht="15" customHeight="1" x14ac:dyDescent="0.25">
      <c r="C1058" s="1"/>
      <c r="D1058" s="1"/>
    </row>
    <row r="1059" spans="3:4" ht="15" customHeight="1" x14ac:dyDescent="0.25">
      <c r="C1059" s="1"/>
      <c r="D1059" s="1"/>
    </row>
    <row r="1060" spans="3:4" ht="15" customHeight="1" x14ac:dyDescent="0.25">
      <c r="C1060" s="1"/>
      <c r="D1060" s="1"/>
    </row>
    <row r="1061" spans="3:4" ht="15" customHeight="1" x14ac:dyDescent="0.25">
      <c r="C1061" s="1"/>
      <c r="D1061" s="1"/>
    </row>
    <row r="1062" spans="3:4" ht="15" customHeight="1" x14ac:dyDescent="0.25">
      <c r="C1062" s="1"/>
      <c r="D1062" s="1"/>
    </row>
    <row r="1063" spans="3:4" ht="15" customHeight="1" x14ac:dyDescent="0.25">
      <c r="C1063" s="1"/>
      <c r="D1063" s="1"/>
    </row>
    <row r="1064" spans="3:4" ht="15" customHeight="1" x14ac:dyDescent="0.25">
      <c r="C1064" s="1"/>
      <c r="D1064" s="1"/>
    </row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000-000000000000}">
          <x14:formula1>
            <xm:f>Lists!$C$3:$C$4</xm:f>
          </x14:formula1>
          <xm:sqref>C108 C119:C1064 C5:C89</xm:sqref>
        </x14:dataValidation>
        <x14:dataValidation type="list" allowBlank="1" showErrorMessage="1" xr:uid="{00000000-0002-0000-0000-000001000000}">
          <x14:formula1>
            <xm:f>Lists!$B$3:$B$22</xm:f>
          </x14:formula1>
          <xm:sqref>D100:D101 D108 D110:D111 D114:D1064 D5:D89</xm:sqref>
        </x14:dataValidation>
        <x14:dataValidation type="list" allowBlank="1" showErrorMessage="1" xr:uid="{00000000-0002-0000-0000-000002000000}">
          <x14:formula1>
            <xm:f>Lists!$D$3:$D$4</xm:f>
          </x14:formula1>
          <xm:sqref>E5:E89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46061-E90E-4886-A88A-B072F1B05D0C}">
  <sheetPr codeName="Sheet4"/>
  <dimension ref="A1:L1059"/>
  <sheetViews>
    <sheetView zoomScaleNormal="100" workbookViewId="0">
      <selection activeCell="G1" sqref="G1:G1048576"/>
    </sheetView>
  </sheetViews>
  <sheetFormatPr defaultColWidth="14.42578125" defaultRowHeight="15" customHeight="1" x14ac:dyDescent="0.25"/>
  <cols>
    <col min="1" max="1" width="33.28515625" style="17" customWidth="1"/>
    <col min="2" max="2" width="9.7109375" style="17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83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184" t="s">
        <v>0</v>
      </c>
      <c r="B1" s="187">
        <f>SUMIF('02_2025'!$C$5:$C$124,"Expense",'02_2025'!$B$5:$B$124)-SUMIF('02_2025'!$C$5:$C$124,"Income",'02_2025'!$B$5:$B$124)</f>
        <v>-2262.747000000003</v>
      </c>
    </row>
    <row r="2" spans="1:12" ht="15" customHeight="1" x14ac:dyDescent="0.25">
      <c r="A2" s="186"/>
      <c r="B2" s="186"/>
    </row>
    <row r="3" spans="1:12" x14ac:dyDescent="0.25">
      <c r="F3" s="2">
        <v>12</v>
      </c>
    </row>
    <row r="4" spans="1:12" x14ac:dyDescent="0.25">
      <c r="A4" s="2" t="s">
        <v>1</v>
      </c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30" t="s">
        <v>333</v>
      </c>
    </row>
    <row r="5" spans="1:12" x14ac:dyDescent="0.25">
      <c r="A5" s="2" t="s">
        <v>134</v>
      </c>
      <c r="B5" s="2">
        <v>500</v>
      </c>
      <c r="C5" s="2" t="s">
        <v>8</v>
      </c>
      <c r="D5" s="2" t="s">
        <v>63</v>
      </c>
      <c r="E5" s="2" t="s">
        <v>17</v>
      </c>
      <c r="F5" s="8">
        <v>45716</v>
      </c>
      <c r="G5" s="35"/>
      <c r="J5" s="11" t="s">
        <v>129</v>
      </c>
      <c r="K5" s="12" t="s">
        <v>131</v>
      </c>
      <c r="L5"/>
    </row>
    <row r="6" spans="1:12" x14ac:dyDescent="0.25">
      <c r="A6" s="2" t="s">
        <v>120</v>
      </c>
      <c r="B6" s="2">
        <v>10.95</v>
      </c>
      <c r="C6" s="2" t="s">
        <v>8</v>
      </c>
      <c r="D6" s="2" t="s">
        <v>31</v>
      </c>
      <c r="E6" s="2" t="s">
        <v>12</v>
      </c>
      <c r="F6" s="8">
        <v>45715</v>
      </c>
      <c r="G6" s="31"/>
      <c r="J6" s="13" t="s">
        <v>70</v>
      </c>
      <c r="K6" s="14">
        <v>6261</v>
      </c>
      <c r="L6"/>
    </row>
    <row r="7" spans="1:12" x14ac:dyDescent="0.25">
      <c r="A7" s="2" t="s">
        <v>135</v>
      </c>
      <c r="B7" s="2">
        <v>43.5</v>
      </c>
      <c r="C7" s="2" t="s">
        <v>8</v>
      </c>
      <c r="D7" s="2" t="s">
        <v>36</v>
      </c>
      <c r="E7" s="2" t="s">
        <v>12</v>
      </c>
      <c r="F7" s="8">
        <v>45714</v>
      </c>
      <c r="G7" s="31"/>
      <c r="J7" s="13" t="s">
        <v>20</v>
      </c>
      <c r="K7" s="14">
        <v>145.6</v>
      </c>
      <c r="L7"/>
    </row>
    <row r="8" spans="1:12" x14ac:dyDescent="0.25">
      <c r="A8" s="2" t="s">
        <v>136</v>
      </c>
      <c r="B8" s="2">
        <v>101.89</v>
      </c>
      <c r="C8" s="2" t="s">
        <v>8</v>
      </c>
      <c r="D8" s="2" t="s">
        <v>22</v>
      </c>
      <c r="E8" s="2" t="s">
        <v>12</v>
      </c>
      <c r="F8" s="8">
        <v>45713</v>
      </c>
      <c r="G8" s="31"/>
      <c r="J8" s="13" t="s">
        <v>22</v>
      </c>
      <c r="K8" s="14">
        <v>2443.5993333333331</v>
      </c>
      <c r="L8"/>
    </row>
    <row r="9" spans="1:12" x14ac:dyDescent="0.25">
      <c r="A9" s="2" t="s">
        <v>137</v>
      </c>
      <c r="B9" s="2">
        <v>3.77</v>
      </c>
      <c r="C9" s="2" t="s">
        <v>8</v>
      </c>
      <c r="D9" s="2" t="s">
        <v>14</v>
      </c>
      <c r="E9" s="2" t="s">
        <v>12</v>
      </c>
      <c r="F9" s="8">
        <v>45713</v>
      </c>
      <c r="G9" s="31"/>
      <c r="J9" s="13" t="s">
        <v>108</v>
      </c>
      <c r="K9" s="14">
        <v>382.59999999999997</v>
      </c>
      <c r="L9"/>
    </row>
    <row r="10" spans="1:12" x14ac:dyDescent="0.25">
      <c r="A10" s="2" t="s">
        <v>120</v>
      </c>
      <c r="B10" s="2">
        <v>19.399999999999999</v>
      </c>
      <c r="C10" s="2" t="s">
        <v>8</v>
      </c>
      <c r="D10" s="2" t="s">
        <v>31</v>
      </c>
      <c r="E10" s="2" t="s">
        <v>12</v>
      </c>
      <c r="F10" s="8">
        <v>45713</v>
      </c>
      <c r="G10" s="31"/>
      <c r="J10" s="13" t="s">
        <v>114</v>
      </c>
      <c r="K10" s="14">
        <v>183.06666666666666</v>
      </c>
      <c r="L10"/>
    </row>
    <row r="11" spans="1:12" x14ac:dyDescent="0.25">
      <c r="A11" s="2" t="s">
        <v>138</v>
      </c>
      <c r="B11" s="2">
        <v>20</v>
      </c>
      <c r="C11" s="29" t="s">
        <v>8</v>
      </c>
      <c r="D11" s="2" t="s">
        <v>16</v>
      </c>
      <c r="E11" s="2" t="s">
        <v>12</v>
      </c>
      <c r="F11" s="8">
        <v>45712</v>
      </c>
      <c r="G11" s="31"/>
      <c r="J11" s="13" t="s">
        <v>63</v>
      </c>
      <c r="K11" s="14">
        <v>1215</v>
      </c>
      <c r="L11"/>
    </row>
    <row r="12" spans="1:12" x14ac:dyDescent="0.25">
      <c r="A12" s="2" t="s">
        <v>139</v>
      </c>
      <c r="B12" s="2">
        <f>109.38/3</f>
        <v>36.46</v>
      </c>
      <c r="C12" s="2" t="s">
        <v>8</v>
      </c>
      <c r="D12" s="2" t="s">
        <v>108</v>
      </c>
      <c r="E12" s="2" t="s">
        <v>12</v>
      </c>
      <c r="F12" s="8">
        <v>45712</v>
      </c>
      <c r="G12" s="191" t="s">
        <v>303</v>
      </c>
      <c r="J12" s="13" t="s">
        <v>61</v>
      </c>
      <c r="K12" s="14">
        <v>561.9</v>
      </c>
      <c r="L12"/>
    </row>
    <row r="13" spans="1:12" x14ac:dyDescent="0.25">
      <c r="A13" s="2" t="s">
        <v>140</v>
      </c>
      <c r="B13" s="2">
        <v>40</v>
      </c>
      <c r="C13" s="2" t="s">
        <v>8</v>
      </c>
      <c r="D13" s="2" t="s">
        <v>22</v>
      </c>
      <c r="E13" s="2" t="s">
        <v>17</v>
      </c>
      <c r="F13" s="8">
        <v>45712</v>
      </c>
      <c r="G13" s="31"/>
      <c r="J13" s="13" t="s">
        <v>16</v>
      </c>
      <c r="K13" s="14">
        <v>535.34500000000003</v>
      </c>
      <c r="L13"/>
    </row>
    <row r="14" spans="1:12" x14ac:dyDescent="0.25">
      <c r="A14" s="2" t="s">
        <v>141</v>
      </c>
      <c r="B14" s="2">
        <v>86.43</v>
      </c>
      <c r="C14" s="2" t="s">
        <v>8</v>
      </c>
      <c r="D14" s="2" t="s">
        <v>31</v>
      </c>
      <c r="E14" s="2" t="s">
        <v>12</v>
      </c>
      <c r="F14" s="8">
        <v>45712</v>
      </c>
      <c r="G14" s="31"/>
      <c r="J14" s="13" t="s">
        <v>14</v>
      </c>
      <c r="K14" s="14">
        <v>1271.2219999999998</v>
      </c>
      <c r="L14"/>
    </row>
    <row r="15" spans="1:12" x14ac:dyDescent="0.25">
      <c r="A15" s="2" t="s">
        <v>142</v>
      </c>
      <c r="B15" s="2">
        <v>39.090000000000003</v>
      </c>
      <c r="C15" s="2" t="s">
        <v>8</v>
      </c>
      <c r="D15" s="2" t="s">
        <v>14</v>
      </c>
      <c r="E15" s="2" t="s">
        <v>17</v>
      </c>
      <c r="F15" s="8">
        <v>45712</v>
      </c>
      <c r="G15" s="31"/>
      <c r="J15" s="13" t="s">
        <v>73</v>
      </c>
      <c r="K15" s="14">
        <v>19142.550000000003</v>
      </c>
      <c r="L15"/>
    </row>
    <row r="16" spans="1:12" x14ac:dyDescent="0.25">
      <c r="A16" s="2" t="s">
        <v>143</v>
      </c>
      <c r="B16" s="2">
        <v>6.66</v>
      </c>
      <c r="C16" s="2" t="s">
        <v>8</v>
      </c>
      <c r="D16" s="2" t="s">
        <v>14</v>
      </c>
      <c r="E16" s="2" t="s">
        <v>12</v>
      </c>
      <c r="F16" s="8">
        <v>45711</v>
      </c>
      <c r="G16" s="31"/>
      <c r="J16" s="13" t="s">
        <v>68</v>
      </c>
      <c r="K16" s="14">
        <v>2573.3799999999997</v>
      </c>
      <c r="L16"/>
    </row>
    <row r="17" spans="1:12" x14ac:dyDescent="0.25">
      <c r="A17" s="2" t="s">
        <v>144</v>
      </c>
      <c r="B17" s="2">
        <v>30.5</v>
      </c>
      <c r="C17" s="2" t="s">
        <v>8</v>
      </c>
      <c r="D17" s="2" t="s">
        <v>16</v>
      </c>
      <c r="E17" s="2" t="s">
        <v>12</v>
      </c>
      <c r="F17" s="8">
        <v>45711</v>
      </c>
      <c r="G17" s="31"/>
      <c r="J17" s="13" t="s">
        <v>36</v>
      </c>
      <c r="K17" s="14">
        <v>220.9</v>
      </c>
      <c r="L17"/>
    </row>
    <row r="18" spans="1:12" x14ac:dyDescent="0.25">
      <c r="A18" s="2" t="s">
        <v>145</v>
      </c>
      <c r="B18" s="2">
        <v>84.95</v>
      </c>
      <c r="C18" s="2" t="s">
        <v>8</v>
      </c>
      <c r="D18" s="2" t="s">
        <v>22</v>
      </c>
      <c r="E18" s="2" t="s">
        <v>12</v>
      </c>
      <c r="F18" s="8">
        <v>45710</v>
      </c>
      <c r="G18" s="191" t="s">
        <v>397</v>
      </c>
      <c r="J18" s="13" t="s">
        <v>11</v>
      </c>
      <c r="K18" s="14">
        <v>702.25</v>
      </c>
      <c r="L18"/>
    </row>
    <row r="19" spans="1:12" x14ac:dyDescent="0.25">
      <c r="A19" s="2" t="s">
        <v>146</v>
      </c>
      <c r="B19" s="2">
        <v>50</v>
      </c>
      <c r="C19" s="2" t="s">
        <v>8</v>
      </c>
      <c r="D19" s="2" t="s">
        <v>11</v>
      </c>
      <c r="E19" s="2" t="s">
        <v>12</v>
      </c>
      <c r="F19" s="8">
        <v>45710</v>
      </c>
      <c r="G19" s="31"/>
      <c r="J19" s="13" t="s">
        <v>31</v>
      </c>
      <c r="K19" s="14">
        <v>383.94000000000005</v>
      </c>
      <c r="L19"/>
    </row>
    <row r="20" spans="1:12" x14ac:dyDescent="0.25">
      <c r="A20" s="2" t="s">
        <v>147</v>
      </c>
      <c r="B20" s="2">
        <v>116.33</v>
      </c>
      <c r="C20" s="2" t="s">
        <v>8</v>
      </c>
      <c r="D20" s="2" t="s">
        <v>11</v>
      </c>
      <c r="E20" s="2" t="s">
        <v>12</v>
      </c>
      <c r="F20" s="8">
        <v>45710</v>
      </c>
      <c r="G20" s="191" t="s">
        <v>386</v>
      </c>
      <c r="J20" s="15" t="s">
        <v>130</v>
      </c>
      <c r="K20" s="16">
        <v>36022.353000000003</v>
      </c>
      <c r="L20"/>
    </row>
    <row r="21" spans="1:12" x14ac:dyDescent="0.25">
      <c r="A21" s="2" t="s">
        <v>148</v>
      </c>
      <c r="B21" s="2">
        <v>14.04</v>
      </c>
      <c r="C21" s="2" t="s">
        <v>8</v>
      </c>
      <c r="D21" s="2" t="s">
        <v>16</v>
      </c>
      <c r="E21" s="2" t="s">
        <v>12</v>
      </c>
      <c r="F21" s="8">
        <v>45709</v>
      </c>
      <c r="G21" s="31"/>
      <c r="J21"/>
      <c r="K21"/>
      <c r="L21"/>
    </row>
    <row r="22" spans="1:12" x14ac:dyDescent="0.25">
      <c r="A22" s="2" t="s">
        <v>149</v>
      </c>
      <c r="B22" s="2">
        <v>27.3</v>
      </c>
      <c r="C22" s="2" t="s">
        <v>8</v>
      </c>
      <c r="D22" s="2" t="s">
        <v>16</v>
      </c>
      <c r="E22" s="2" t="s">
        <v>12</v>
      </c>
      <c r="F22" s="8">
        <v>45707</v>
      </c>
      <c r="G22" s="31"/>
      <c r="J22"/>
      <c r="K22"/>
      <c r="L22"/>
    </row>
    <row r="23" spans="1:12" x14ac:dyDescent="0.25">
      <c r="A23" s="2" t="s">
        <v>150</v>
      </c>
      <c r="B23" s="2">
        <v>26.83</v>
      </c>
      <c r="C23" s="2" t="s">
        <v>8</v>
      </c>
      <c r="D23" s="2" t="s">
        <v>14</v>
      </c>
      <c r="E23" s="2" t="s">
        <v>12</v>
      </c>
      <c r="F23" s="8">
        <v>45707</v>
      </c>
      <c r="G23" s="31"/>
      <c r="J23"/>
      <c r="K23"/>
    </row>
    <row r="24" spans="1:12" x14ac:dyDescent="0.25">
      <c r="A24" s="2" t="s">
        <v>151</v>
      </c>
      <c r="B24" s="2">
        <v>9.5</v>
      </c>
      <c r="C24" s="2" t="s">
        <v>8</v>
      </c>
      <c r="D24" s="2" t="s">
        <v>22</v>
      </c>
      <c r="E24" s="2" t="s">
        <v>17</v>
      </c>
      <c r="F24" s="8">
        <v>45706</v>
      </c>
      <c r="G24" s="31"/>
      <c r="J24"/>
      <c r="K24">
        <f>36022.353-19044.55</f>
        <v>16977.803000000004</v>
      </c>
    </row>
    <row r="25" spans="1:12" x14ac:dyDescent="0.25">
      <c r="A25" s="2" t="s">
        <v>137</v>
      </c>
      <c r="B25" s="2">
        <v>10.050000000000001</v>
      </c>
      <c r="C25" s="2" t="s">
        <v>8</v>
      </c>
      <c r="D25" s="2" t="s">
        <v>14</v>
      </c>
      <c r="E25" s="2" t="s">
        <v>12</v>
      </c>
      <c r="F25" s="8">
        <v>45706</v>
      </c>
      <c r="G25" s="31"/>
      <c r="J25"/>
      <c r="K25">
        <f>16977.803-19044.55</f>
        <v>-2066.7469999999994</v>
      </c>
      <c r="L25" s="17">
        <f>2262.75-2066.75</f>
        <v>196</v>
      </c>
    </row>
    <row r="26" spans="1:12" x14ac:dyDescent="0.25">
      <c r="A26" s="2" t="s">
        <v>152</v>
      </c>
      <c r="B26" s="2">
        <v>150</v>
      </c>
      <c r="C26" s="2" t="s">
        <v>8</v>
      </c>
      <c r="D26" s="2" t="s">
        <v>11</v>
      </c>
      <c r="E26" s="2" t="s">
        <v>17</v>
      </c>
      <c r="F26" s="8">
        <v>45706</v>
      </c>
      <c r="G26" s="31"/>
      <c r="J26"/>
      <c r="K26">
        <v>16897.803</v>
      </c>
    </row>
    <row r="27" spans="1:12" x14ac:dyDescent="0.25">
      <c r="A27" s="2" t="s">
        <v>153</v>
      </c>
      <c r="B27" s="2">
        <v>13.6</v>
      </c>
      <c r="C27" s="2" t="s">
        <v>8</v>
      </c>
      <c r="D27" s="2" t="s">
        <v>36</v>
      </c>
      <c r="E27" s="2" t="s">
        <v>12</v>
      </c>
      <c r="F27" s="8">
        <v>45706</v>
      </c>
      <c r="G27" s="31"/>
      <c r="J27"/>
      <c r="K27">
        <f>K24-K26</f>
        <v>80.000000000003638</v>
      </c>
    </row>
    <row r="28" spans="1:12" x14ac:dyDescent="0.25">
      <c r="A28" s="2" t="s">
        <v>154</v>
      </c>
      <c r="B28" s="2">
        <v>61.8</v>
      </c>
      <c r="C28" s="2" t="s">
        <v>8</v>
      </c>
      <c r="D28" s="2" t="s">
        <v>36</v>
      </c>
      <c r="E28" s="2" t="s">
        <v>12</v>
      </c>
      <c r="F28" s="8">
        <v>45706</v>
      </c>
      <c r="G28" s="31"/>
      <c r="J28"/>
      <c r="K28"/>
    </row>
    <row r="29" spans="1:12" x14ac:dyDescent="0.25">
      <c r="A29" s="2" t="s">
        <v>155</v>
      </c>
      <c r="B29" s="2">
        <v>19.899999999999999</v>
      </c>
      <c r="C29" s="2" t="s">
        <v>8</v>
      </c>
      <c r="D29" s="2" t="s">
        <v>20</v>
      </c>
      <c r="E29" s="2" t="s">
        <v>12</v>
      </c>
      <c r="F29" s="8">
        <v>45705</v>
      </c>
      <c r="G29" s="31"/>
      <c r="J29"/>
      <c r="K29"/>
    </row>
    <row r="30" spans="1:12" x14ac:dyDescent="0.25">
      <c r="A30" s="2" t="s">
        <v>156</v>
      </c>
      <c r="B30" s="2">
        <f>247.5/2</f>
        <v>123.75</v>
      </c>
      <c r="C30" s="2" t="s">
        <v>8</v>
      </c>
      <c r="D30" s="2" t="s">
        <v>14</v>
      </c>
      <c r="E30" s="2" t="s">
        <v>12</v>
      </c>
      <c r="F30" s="8">
        <v>45705</v>
      </c>
      <c r="G30" s="191" t="s">
        <v>397</v>
      </c>
      <c r="J30"/>
      <c r="K30"/>
    </row>
    <row r="31" spans="1:12" x14ac:dyDescent="0.25">
      <c r="A31" s="2" t="s">
        <v>157</v>
      </c>
      <c r="B31" s="2">
        <f>29.4/5</f>
        <v>5.88</v>
      </c>
      <c r="C31" s="2" t="s">
        <v>8</v>
      </c>
      <c r="D31" s="2" t="s">
        <v>11</v>
      </c>
      <c r="E31" s="2" t="s">
        <v>17</v>
      </c>
      <c r="F31" s="8">
        <v>45705</v>
      </c>
      <c r="G31" s="191" t="s">
        <v>306</v>
      </c>
      <c r="J31"/>
      <c r="K31"/>
    </row>
    <row r="32" spans="1:12" x14ac:dyDescent="0.25">
      <c r="A32" s="2" t="s">
        <v>158</v>
      </c>
      <c r="B32" s="2">
        <v>36.479999999999997</v>
      </c>
      <c r="C32" s="2" t="s">
        <v>8</v>
      </c>
      <c r="D32" s="2" t="s">
        <v>16</v>
      </c>
      <c r="E32" s="2" t="s">
        <v>17</v>
      </c>
      <c r="F32" s="8">
        <v>45705</v>
      </c>
      <c r="G32" s="31"/>
      <c r="J32"/>
      <c r="K32"/>
    </row>
    <row r="33" spans="1:11" x14ac:dyDescent="0.25">
      <c r="A33" s="2" t="s">
        <v>120</v>
      </c>
      <c r="B33" s="2">
        <v>23.95</v>
      </c>
      <c r="C33" s="2" t="s">
        <v>8</v>
      </c>
      <c r="D33" s="2" t="s">
        <v>31</v>
      </c>
      <c r="E33" s="2" t="s">
        <v>12</v>
      </c>
      <c r="F33" s="8">
        <v>45705</v>
      </c>
      <c r="G33" s="31"/>
      <c r="J33"/>
      <c r="K33"/>
    </row>
    <row r="34" spans="1:11" x14ac:dyDescent="0.25">
      <c r="A34" s="2" t="s">
        <v>141</v>
      </c>
      <c r="B34" s="2">
        <v>20</v>
      </c>
      <c r="C34" s="2" t="s">
        <v>8</v>
      </c>
      <c r="D34" s="2" t="s">
        <v>31</v>
      </c>
      <c r="E34" s="2" t="s">
        <v>12</v>
      </c>
      <c r="F34" s="8">
        <v>45705</v>
      </c>
      <c r="G34" s="31"/>
      <c r="J34"/>
      <c r="K34"/>
    </row>
    <row r="35" spans="1:11" x14ac:dyDescent="0.25">
      <c r="A35" s="2" t="s">
        <v>158</v>
      </c>
      <c r="B35" s="2">
        <v>36.840000000000003</v>
      </c>
      <c r="C35" s="2" t="s">
        <v>8</v>
      </c>
      <c r="D35" s="2" t="s">
        <v>16</v>
      </c>
      <c r="E35" s="2" t="s">
        <v>17</v>
      </c>
      <c r="F35" s="8">
        <v>45703</v>
      </c>
      <c r="G35" s="31"/>
      <c r="J35"/>
      <c r="K35"/>
    </row>
    <row r="36" spans="1:11" x14ac:dyDescent="0.25">
      <c r="A36" s="2" t="s">
        <v>137</v>
      </c>
      <c r="B36" s="2">
        <v>9.7899999999999991</v>
      </c>
      <c r="C36" s="2" t="s">
        <v>8</v>
      </c>
      <c r="D36" s="2" t="s">
        <v>14</v>
      </c>
      <c r="E36" s="2" t="s">
        <v>12</v>
      </c>
      <c r="F36" s="8">
        <v>45703</v>
      </c>
      <c r="G36" s="31"/>
      <c r="J36"/>
      <c r="K36"/>
    </row>
    <row r="37" spans="1:11" x14ac:dyDescent="0.25">
      <c r="A37" s="2" t="s">
        <v>159</v>
      </c>
      <c r="B37" s="2">
        <v>45</v>
      </c>
      <c r="C37" s="2" t="s">
        <v>8</v>
      </c>
      <c r="D37" s="2" t="s">
        <v>14</v>
      </c>
      <c r="E37" s="2" t="s">
        <v>12</v>
      </c>
      <c r="F37" s="8">
        <v>45703</v>
      </c>
      <c r="G37" s="31"/>
      <c r="J37"/>
      <c r="K37"/>
    </row>
    <row r="38" spans="1:11" x14ac:dyDescent="0.25">
      <c r="A38" s="2" t="s">
        <v>160</v>
      </c>
      <c r="B38" s="2">
        <v>90</v>
      </c>
      <c r="C38" s="2" t="s">
        <v>8</v>
      </c>
      <c r="D38" s="2" t="s">
        <v>11</v>
      </c>
      <c r="E38" s="2" t="s">
        <v>17</v>
      </c>
      <c r="F38" s="8">
        <v>45703</v>
      </c>
      <c r="G38" s="31"/>
      <c r="J38"/>
      <c r="K38"/>
    </row>
    <row r="39" spans="1:11" x14ac:dyDescent="0.25">
      <c r="A39" s="2" t="s">
        <v>161</v>
      </c>
      <c r="B39" s="2">
        <v>2.94</v>
      </c>
      <c r="C39" s="2" t="s">
        <v>8</v>
      </c>
      <c r="D39" s="2" t="s">
        <v>14</v>
      </c>
      <c r="E39" s="2" t="s">
        <v>12</v>
      </c>
      <c r="F39" s="8">
        <v>45702</v>
      </c>
      <c r="G39" s="31"/>
      <c r="J39"/>
      <c r="K39"/>
    </row>
    <row r="40" spans="1:11" x14ac:dyDescent="0.25">
      <c r="A40" s="2" t="s">
        <v>162</v>
      </c>
      <c r="B40" s="2">
        <v>26</v>
      </c>
      <c r="C40" s="2" t="s">
        <v>8</v>
      </c>
      <c r="D40" s="2" t="s">
        <v>31</v>
      </c>
      <c r="E40" s="2" t="s">
        <v>12</v>
      </c>
      <c r="F40" s="8">
        <v>45702</v>
      </c>
      <c r="G40" s="31"/>
      <c r="J40"/>
      <c r="K40"/>
    </row>
    <row r="41" spans="1:11" x14ac:dyDescent="0.25">
      <c r="A41" s="2" t="s">
        <v>163</v>
      </c>
      <c r="B41" s="2">
        <v>69.900000000000006</v>
      </c>
      <c r="C41" s="2" t="s">
        <v>8</v>
      </c>
      <c r="D41" s="2" t="s">
        <v>22</v>
      </c>
      <c r="E41" s="2" t="s">
        <v>17</v>
      </c>
      <c r="F41" s="8">
        <v>45701</v>
      </c>
      <c r="G41" s="31"/>
      <c r="J41"/>
      <c r="K41"/>
    </row>
    <row r="42" spans="1:11" x14ac:dyDescent="0.25">
      <c r="A42" s="2" t="s">
        <v>13</v>
      </c>
      <c r="B42" s="2">
        <v>128.04</v>
      </c>
      <c r="C42" s="2" t="s">
        <v>8</v>
      </c>
      <c r="D42" s="2" t="s">
        <v>14</v>
      </c>
      <c r="E42" s="2" t="s">
        <v>17</v>
      </c>
      <c r="F42" s="8">
        <v>45701</v>
      </c>
      <c r="G42" s="31"/>
      <c r="J42"/>
      <c r="K42"/>
    </row>
    <row r="43" spans="1:11" x14ac:dyDescent="0.25">
      <c r="A43" s="2" t="s">
        <v>164</v>
      </c>
      <c r="B43" s="3">
        <f>199/6</f>
        <v>33.166666666666664</v>
      </c>
      <c r="C43" s="2" t="s">
        <v>8</v>
      </c>
      <c r="D43" s="2" t="s">
        <v>114</v>
      </c>
      <c r="E43" s="2" t="s">
        <v>12</v>
      </c>
      <c r="F43" s="8">
        <v>45701</v>
      </c>
      <c r="G43" s="191" t="s">
        <v>386</v>
      </c>
      <c r="J43"/>
      <c r="K43"/>
    </row>
    <row r="44" spans="1:11" x14ac:dyDescent="0.25">
      <c r="A44" s="2" t="s">
        <v>165</v>
      </c>
      <c r="B44" s="2">
        <v>11.95</v>
      </c>
      <c r="C44" s="2" t="s">
        <v>8</v>
      </c>
      <c r="D44" s="2" t="s">
        <v>16</v>
      </c>
      <c r="E44" s="2" t="s">
        <v>17</v>
      </c>
      <c r="F44" s="8">
        <v>45700</v>
      </c>
      <c r="G44" s="31"/>
      <c r="J44"/>
      <c r="K44"/>
    </row>
    <row r="45" spans="1:11" x14ac:dyDescent="0.25">
      <c r="A45" s="2" t="s">
        <v>166</v>
      </c>
      <c r="B45" s="2">
        <v>149.9</v>
      </c>
      <c r="C45" s="2" t="s">
        <v>8</v>
      </c>
      <c r="D45" s="2" t="s">
        <v>114</v>
      </c>
      <c r="E45" s="2" t="s">
        <v>12</v>
      </c>
      <c r="F45" s="8">
        <v>45700</v>
      </c>
      <c r="G45" s="31"/>
      <c r="J45"/>
      <c r="K45"/>
    </row>
    <row r="46" spans="1:11" x14ac:dyDescent="0.25">
      <c r="A46" s="2" t="s">
        <v>167</v>
      </c>
      <c r="B46" s="2">
        <v>105.8</v>
      </c>
      <c r="C46" s="2" t="s">
        <v>8</v>
      </c>
      <c r="D46" s="2" t="s">
        <v>14</v>
      </c>
      <c r="E46" s="2" t="s">
        <v>12</v>
      </c>
      <c r="F46" s="8">
        <v>45700</v>
      </c>
      <c r="G46" s="31"/>
      <c r="J46"/>
      <c r="K46"/>
    </row>
    <row r="47" spans="1:11" x14ac:dyDescent="0.25">
      <c r="A47" s="2" t="s">
        <v>168</v>
      </c>
      <c r="B47" s="2">
        <v>11.87</v>
      </c>
      <c r="C47" s="2" t="s">
        <v>8</v>
      </c>
      <c r="D47" s="2" t="s">
        <v>11</v>
      </c>
      <c r="E47" s="2" t="s">
        <v>17</v>
      </c>
      <c r="F47" s="8">
        <v>45699</v>
      </c>
      <c r="G47" s="191" t="s">
        <v>306</v>
      </c>
      <c r="J47"/>
      <c r="K47"/>
    </row>
    <row r="48" spans="1:11" x14ac:dyDescent="0.25">
      <c r="A48" s="2" t="s">
        <v>169</v>
      </c>
      <c r="B48" s="2">
        <f>123.1+43.15</f>
        <v>166.25</v>
      </c>
      <c r="C48" s="2" t="s">
        <v>8</v>
      </c>
      <c r="D48" s="2" t="s">
        <v>22</v>
      </c>
      <c r="E48" s="2" t="s">
        <v>12</v>
      </c>
      <c r="F48" s="8">
        <v>45699</v>
      </c>
      <c r="G48" s="31"/>
      <c r="J48"/>
      <c r="K48"/>
    </row>
    <row r="49" spans="1:11" x14ac:dyDescent="0.25">
      <c r="A49" s="2" t="s">
        <v>151</v>
      </c>
      <c r="B49" s="2">
        <v>4</v>
      </c>
      <c r="C49" s="2" t="s">
        <v>8</v>
      </c>
      <c r="D49" s="2" t="s">
        <v>22</v>
      </c>
      <c r="E49" s="2" t="s">
        <v>12</v>
      </c>
      <c r="F49" s="8">
        <v>45698</v>
      </c>
      <c r="G49" s="31"/>
      <c r="J49"/>
      <c r="K49"/>
    </row>
    <row r="50" spans="1:11" x14ac:dyDescent="0.25">
      <c r="A50" s="2" t="s">
        <v>170</v>
      </c>
      <c r="B50" s="2">
        <v>42.66</v>
      </c>
      <c r="C50" s="2" t="s">
        <v>8</v>
      </c>
      <c r="D50" s="2" t="s">
        <v>11</v>
      </c>
      <c r="E50" s="2" t="s">
        <v>12</v>
      </c>
      <c r="F50" s="8">
        <v>45698</v>
      </c>
      <c r="G50" s="191" t="s">
        <v>386</v>
      </c>
      <c r="J50"/>
      <c r="K50"/>
    </row>
    <row r="51" spans="1:11" x14ac:dyDescent="0.25">
      <c r="A51" s="2" t="s">
        <v>171</v>
      </c>
      <c r="B51" s="2">
        <v>40.11</v>
      </c>
      <c r="C51" s="2" t="s">
        <v>8</v>
      </c>
      <c r="D51" s="2" t="s">
        <v>22</v>
      </c>
      <c r="E51" s="2" t="s">
        <v>12</v>
      </c>
      <c r="F51" s="8">
        <v>45698</v>
      </c>
      <c r="G51" s="191" t="s">
        <v>397</v>
      </c>
      <c r="J51"/>
      <c r="K51"/>
    </row>
    <row r="52" spans="1:11" x14ac:dyDescent="0.25">
      <c r="A52" s="2" t="s">
        <v>43</v>
      </c>
      <c r="B52" s="2">
        <v>100</v>
      </c>
      <c r="C52" s="2" t="s">
        <v>8</v>
      </c>
      <c r="D52" s="2" t="s">
        <v>31</v>
      </c>
      <c r="E52" s="2" t="s">
        <v>12</v>
      </c>
      <c r="F52" s="8">
        <v>45698</v>
      </c>
      <c r="G52" s="31"/>
      <c r="J52"/>
      <c r="K52"/>
    </row>
    <row r="53" spans="1:11" ht="15.75" customHeight="1" x14ac:dyDescent="0.25">
      <c r="A53" s="2" t="s">
        <v>172</v>
      </c>
      <c r="B53" s="2">
        <v>102</v>
      </c>
      <c r="C53" s="2" t="s">
        <v>8</v>
      </c>
      <c r="D53" s="2" t="s">
        <v>36</v>
      </c>
      <c r="E53" s="2" t="s">
        <v>12</v>
      </c>
      <c r="F53" s="8">
        <v>45697</v>
      </c>
      <c r="G53" s="31"/>
      <c r="J53"/>
      <c r="K53"/>
    </row>
    <row r="54" spans="1:11" ht="15.75" customHeight="1" x14ac:dyDescent="0.25">
      <c r="A54" s="2" t="s">
        <v>173</v>
      </c>
      <c r="B54" s="2">
        <v>57.1</v>
      </c>
      <c r="C54" s="2" t="s">
        <v>8</v>
      </c>
      <c r="D54" s="2" t="s">
        <v>16</v>
      </c>
      <c r="E54" s="2" t="s">
        <v>12</v>
      </c>
      <c r="F54" s="8">
        <v>45696</v>
      </c>
      <c r="G54" s="31"/>
      <c r="J54"/>
      <c r="K54"/>
    </row>
    <row r="55" spans="1:11" ht="15.75" customHeight="1" x14ac:dyDescent="0.25">
      <c r="A55" s="2" t="s">
        <v>18</v>
      </c>
      <c r="B55" s="2">
        <v>44</v>
      </c>
      <c r="C55" s="2" t="s">
        <v>8</v>
      </c>
      <c r="D55" s="2" t="s">
        <v>16</v>
      </c>
      <c r="E55" s="2" t="s">
        <v>12</v>
      </c>
      <c r="F55" s="8">
        <v>45695</v>
      </c>
      <c r="G55" s="27"/>
      <c r="J55"/>
      <c r="K55"/>
    </row>
    <row r="56" spans="1:11" ht="15.75" customHeight="1" x14ac:dyDescent="0.25">
      <c r="A56" s="2" t="s">
        <v>174</v>
      </c>
      <c r="B56" s="2">
        <v>9.9499999999999993</v>
      </c>
      <c r="C56" s="2" t="s">
        <v>8</v>
      </c>
      <c r="D56" s="2" t="s">
        <v>31</v>
      </c>
      <c r="E56" s="2" t="s">
        <v>17</v>
      </c>
      <c r="F56" s="8">
        <v>45694</v>
      </c>
      <c r="G56" s="27"/>
      <c r="J56"/>
      <c r="K56"/>
    </row>
    <row r="57" spans="1:11" ht="15.75" customHeight="1" x14ac:dyDescent="0.25">
      <c r="A57" s="2" t="s">
        <v>175</v>
      </c>
      <c r="B57" s="2">
        <v>90</v>
      </c>
      <c r="C57" s="2" t="s">
        <v>8</v>
      </c>
      <c r="D57" s="2" t="s">
        <v>22</v>
      </c>
      <c r="E57" s="2" t="s">
        <v>17</v>
      </c>
      <c r="F57" s="8">
        <v>45694</v>
      </c>
      <c r="G57" s="27"/>
      <c r="J57"/>
      <c r="K57"/>
    </row>
    <row r="58" spans="1:11" ht="15.75" customHeight="1" x14ac:dyDescent="0.25">
      <c r="A58" s="2" t="s">
        <v>176</v>
      </c>
      <c r="B58" s="2">
        <v>5</v>
      </c>
      <c r="C58" s="2" t="s">
        <v>8</v>
      </c>
      <c r="D58" s="2" t="s">
        <v>63</v>
      </c>
      <c r="E58" s="2" t="s">
        <v>12</v>
      </c>
      <c r="F58" s="8">
        <v>45694</v>
      </c>
      <c r="G58" s="27"/>
      <c r="J58"/>
      <c r="K58"/>
    </row>
    <row r="59" spans="1:11" ht="15.75" customHeight="1" x14ac:dyDescent="0.25">
      <c r="A59" s="2" t="s">
        <v>177</v>
      </c>
      <c r="B59" s="2">
        <v>40</v>
      </c>
      <c r="C59" s="2" t="s">
        <v>8</v>
      </c>
      <c r="D59" s="2" t="s">
        <v>11</v>
      </c>
      <c r="E59" s="2" t="s">
        <v>17</v>
      </c>
      <c r="F59" s="8">
        <v>45693</v>
      </c>
      <c r="G59" s="27"/>
      <c r="J59"/>
      <c r="K59"/>
    </row>
    <row r="60" spans="1:11" ht="15.75" customHeight="1" x14ac:dyDescent="0.25">
      <c r="A60" s="2" t="s">
        <v>178</v>
      </c>
      <c r="B60" s="2">
        <v>53.99</v>
      </c>
      <c r="C60" s="2" t="s">
        <v>8</v>
      </c>
      <c r="D60" s="2" t="s">
        <v>22</v>
      </c>
      <c r="E60" s="2" t="s">
        <v>12</v>
      </c>
      <c r="F60" s="8">
        <v>45693</v>
      </c>
      <c r="G60" s="27"/>
      <c r="J60"/>
      <c r="K60"/>
    </row>
    <row r="61" spans="1:11" ht="15.75" customHeight="1" x14ac:dyDescent="0.25">
      <c r="A61" s="2" t="s">
        <v>179</v>
      </c>
      <c r="B61" s="2">
        <v>98</v>
      </c>
      <c r="C61" s="2" t="s">
        <v>72</v>
      </c>
      <c r="D61" s="29" t="s">
        <v>73</v>
      </c>
      <c r="E61" s="8" t="s">
        <v>17</v>
      </c>
      <c r="F61" s="8">
        <v>45692</v>
      </c>
      <c r="G61" s="27"/>
      <c r="J61"/>
      <c r="K61"/>
    </row>
    <row r="62" spans="1:11" ht="15.75" customHeight="1" x14ac:dyDescent="0.25">
      <c r="A62" s="2" t="s">
        <v>120</v>
      </c>
      <c r="B62" s="2">
        <v>11.93</v>
      </c>
      <c r="C62" s="2" t="s">
        <v>8</v>
      </c>
      <c r="D62" s="2" t="s">
        <v>31</v>
      </c>
      <c r="E62" s="8" t="s">
        <v>17</v>
      </c>
      <c r="F62" s="8">
        <v>45692</v>
      </c>
      <c r="G62" s="27"/>
      <c r="J62"/>
      <c r="K62"/>
    </row>
    <row r="63" spans="1:11" ht="15.75" customHeight="1" x14ac:dyDescent="0.25">
      <c r="A63" s="2" t="s">
        <v>120</v>
      </c>
      <c r="B63" s="2">
        <v>10.99</v>
      </c>
      <c r="C63" s="2" t="s">
        <v>8</v>
      </c>
      <c r="D63" s="2" t="s">
        <v>31</v>
      </c>
      <c r="E63" s="8" t="s">
        <v>17</v>
      </c>
      <c r="F63" s="8">
        <v>45692</v>
      </c>
      <c r="G63" s="27"/>
      <c r="J63"/>
      <c r="K63"/>
    </row>
    <row r="64" spans="1:11" ht="15.75" customHeight="1" x14ac:dyDescent="0.25">
      <c r="A64" s="2" t="s">
        <v>180</v>
      </c>
      <c r="B64" s="2">
        <v>125.94</v>
      </c>
      <c r="C64" s="2" t="s">
        <v>8</v>
      </c>
      <c r="D64" s="2" t="s">
        <v>22</v>
      </c>
      <c r="E64" s="2" t="s">
        <v>12</v>
      </c>
      <c r="F64" s="8">
        <v>45692</v>
      </c>
      <c r="G64" s="27"/>
      <c r="J64"/>
      <c r="K64"/>
    </row>
    <row r="65" spans="1:11" ht="15.75" customHeight="1" x14ac:dyDescent="0.25">
      <c r="A65" s="2" t="s">
        <v>181</v>
      </c>
      <c r="B65" s="2">
        <v>235</v>
      </c>
      <c r="C65" s="2" t="s">
        <v>8</v>
      </c>
      <c r="D65" s="2" t="s">
        <v>22</v>
      </c>
      <c r="E65" s="8" t="s">
        <v>17</v>
      </c>
      <c r="F65" s="8">
        <v>45692</v>
      </c>
      <c r="G65" s="27"/>
      <c r="J65"/>
      <c r="K65"/>
    </row>
    <row r="66" spans="1:11" ht="15.75" customHeight="1" x14ac:dyDescent="0.25">
      <c r="A66" s="2" t="s">
        <v>182</v>
      </c>
      <c r="B66" s="2">
        <v>57.52</v>
      </c>
      <c r="C66" s="2" t="s">
        <v>8</v>
      </c>
      <c r="D66" s="2" t="s">
        <v>11</v>
      </c>
      <c r="E66" s="2" t="s">
        <v>12</v>
      </c>
      <c r="F66" s="8">
        <v>45692</v>
      </c>
      <c r="G66" s="27"/>
      <c r="J66"/>
      <c r="K66"/>
    </row>
    <row r="67" spans="1:11" ht="15.75" customHeight="1" x14ac:dyDescent="0.25">
      <c r="A67" s="2" t="s">
        <v>183</v>
      </c>
      <c r="B67" s="2">
        <v>56.2</v>
      </c>
      <c r="C67" s="2" t="s">
        <v>8</v>
      </c>
      <c r="D67" s="2" t="s">
        <v>16</v>
      </c>
      <c r="E67" s="2" t="s">
        <v>12</v>
      </c>
      <c r="F67" s="8">
        <v>45691</v>
      </c>
      <c r="G67" s="27"/>
      <c r="J67"/>
      <c r="K67"/>
    </row>
    <row r="68" spans="1:11" ht="15.75" customHeight="1" x14ac:dyDescent="0.25">
      <c r="A68" s="2" t="s">
        <v>184</v>
      </c>
      <c r="B68" s="3">
        <f>(145.67+64.44)/5</f>
        <v>42.021999999999998</v>
      </c>
      <c r="C68" s="2" t="s">
        <v>8</v>
      </c>
      <c r="D68" s="2" t="s">
        <v>14</v>
      </c>
      <c r="E68" s="8" t="s">
        <v>12</v>
      </c>
      <c r="F68" s="8">
        <v>45691</v>
      </c>
      <c r="G68" s="191" t="s">
        <v>306</v>
      </c>
      <c r="J68"/>
      <c r="K68"/>
    </row>
    <row r="69" spans="1:11" ht="15.75" customHeight="1" x14ac:dyDescent="0.25">
      <c r="A69" s="2" t="s">
        <v>185</v>
      </c>
      <c r="B69" s="3">
        <f>44.54*2/5</f>
        <v>17.815999999999999</v>
      </c>
      <c r="C69" s="2" t="s">
        <v>8</v>
      </c>
      <c r="D69" s="2" t="s">
        <v>22</v>
      </c>
      <c r="E69" s="8" t="s">
        <v>12</v>
      </c>
      <c r="F69" s="8">
        <v>45691</v>
      </c>
      <c r="G69" s="191" t="s">
        <v>306</v>
      </c>
      <c r="J69"/>
      <c r="K69"/>
    </row>
    <row r="70" spans="1:11" ht="15.75" customHeight="1" x14ac:dyDescent="0.25">
      <c r="A70" s="2" t="s">
        <v>186</v>
      </c>
      <c r="B70" s="2">
        <v>69.900000000000006</v>
      </c>
      <c r="C70" s="2" t="s">
        <v>8</v>
      </c>
      <c r="D70" s="2" t="s">
        <v>22</v>
      </c>
      <c r="E70" s="8" t="s">
        <v>12</v>
      </c>
      <c r="F70" s="8">
        <v>45690</v>
      </c>
      <c r="G70" s="27"/>
      <c r="J70"/>
      <c r="K70"/>
    </row>
    <row r="71" spans="1:11" ht="15.75" customHeight="1" x14ac:dyDescent="0.25">
      <c r="A71" s="2" t="s">
        <v>187</v>
      </c>
      <c r="B71" s="2">
        <v>19.96</v>
      </c>
      <c r="C71" s="2" t="s">
        <v>8</v>
      </c>
      <c r="D71" s="2" t="s">
        <v>11</v>
      </c>
      <c r="E71" s="8" t="s">
        <v>17</v>
      </c>
      <c r="F71" s="8">
        <v>45690</v>
      </c>
      <c r="G71" s="27"/>
      <c r="J71"/>
      <c r="K71"/>
    </row>
    <row r="72" spans="1:11" ht="15.75" customHeight="1" x14ac:dyDescent="0.25">
      <c r="A72" s="2" t="s">
        <v>188</v>
      </c>
      <c r="B72" s="2">
        <v>45.99</v>
      </c>
      <c r="C72" s="2" t="s">
        <v>8</v>
      </c>
      <c r="D72" s="2" t="s">
        <v>16</v>
      </c>
      <c r="E72" s="8" t="s">
        <v>12</v>
      </c>
      <c r="F72" s="8">
        <v>45688</v>
      </c>
      <c r="G72" s="27"/>
      <c r="J72"/>
      <c r="K72"/>
    </row>
    <row r="73" spans="1:11" ht="15.75" customHeight="1" x14ac:dyDescent="0.25">
      <c r="A73" s="2" t="s">
        <v>60</v>
      </c>
      <c r="B73" s="3">
        <v>272</v>
      </c>
      <c r="C73" s="2" t="s">
        <v>8</v>
      </c>
      <c r="D73" s="2" t="s">
        <v>61</v>
      </c>
      <c r="E73" s="8" t="s">
        <v>12</v>
      </c>
      <c r="F73" s="5">
        <v>45691</v>
      </c>
      <c r="G73" s="27"/>
      <c r="J73"/>
      <c r="K73"/>
    </row>
    <row r="74" spans="1:11" ht="15.75" customHeight="1" x14ac:dyDescent="0.25">
      <c r="A74" s="2" t="s">
        <v>62</v>
      </c>
      <c r="B74" s="3">
        <v>400</v>
      </c>
      <c r="C74" s="2" t="s">
        <v>8</v>
      </c>
      <c r="D74" s="2" t="s">
        <v>63</v>
      </c>
      <c r="E74" s="8" t="s">
        <v>12</v>
      </c>
      <c r="F74" s="5">
        <v>45691</v>
      </c>
      <c r="G74" s="27"/>
      <c r="J74"/>
      <c r="K74"/>
    </row>
    <row r="75" spans="1:11" ht="15.75" customHeight="1" x14ac:dyDescent="0.25">
      <c r="A75" s="2" t="s">
        <v>64</v>
      </c>
      <c r="B75" s="3">
        <v>289.89999999999998</v>
      </c>
      <c r="C75" s="2" t="s">
        <v>8</v>
      </c>
      <c r="D75" s="2" t="s">
        <v>61</v>
      </c>
      <c r="E75" s="8" t="s">
        <v>17</v>
      </c>
      <c r="F75" s="5">
        <v>45693</v>
      </c>
      <c r="G75" s="27"/>
      <c r="J75"/>
      <c r="K75"/>
    </row>
    <row r="76" spans="1:11" ht="15.75" customHeight="1" x14ac:dyDescent="0.25">
      <c r="A76" s="2" t="s">
        <v>66</v>
      </c>
      <c r="B76" s="3">
        <v>150</v>
      </c>
      <c r="C76" s="2" t="s">
        <v>8</v>
      </c>
      <c r="D76" s="2" t="s">
        <v>63</v>
      </c>
      <c r="E76" s="8" t="s">
        <v>17</v>
      </c>
      <c r="F76" s="5">
        <v>45698</v>
      </c>
      <c r="G76" s="27"/>
      <c r="J76"/>
      <c r="K76"/>
    </row>
    <row r="77" spans="1:11" ht="15.75" customHeight="1" x14ac:dyDescent="0.25">
      <c r="A77" s="2" t="s">
        <v>189</v>
      </c>
      <c r="B77" s="3">
        <v>107.12</v>
      </c>
      <c r="C77" s="2" t="s">
        <v>8</v>
      </c>
      <c r="D77" s="2" t="s">
        <v>68</v>
      </c>
      <c r="E77" s="8" t="s">
        <v>12</v>
      </c>
      <c r="F77" s="5">
        <v>45701</v>
      </c>
      <c r="G77" s="27"/>
      <c r="J77"/>
      <c r="K77"/>
    </row>
    <row r="78" spans="1:11" ht="15.75" customHeight="1" x14ac:dyDescent="0.25">
      <c r="A78" s="2" t="s">
        <v>69</v>
      </c>
      <c r="B78" s="3">
        <v>6261</v>
      </c>
      <c r="C78" s="2" t="s">
        <v>8</v>
      </c>
      <c r="D78" s="2" t="s">
        <v>70</v>
      </c>
      <c r="E78" s="8" t="s">
        <v>12</v>
      </c>
      <c r="F78" s="5">
        <v>45703</v>
      </c>
      <c r="G78" s="27"/>
      <c r="J78"/>
      <c r="K78"/>
    </row>
    <row r="79" spans="1:11" ht="15.75" customHeight="1" x14ac:dyDescent="0.25">
      <c r="A79" s="2" t="s">
        <v>71</v>
      </c>
      <c r="B79" s="3">
        <v>5679.6</v>
      </c>
      <c r="C79" s="2" t="s">
        <v>72</v>
      </c>
      <c r="D79" s="2" t="s">
        <v>73</v>
      </c>
      <c r="E79" s="8" t="s">
        <v>17</v>
      </c>
      <c r="F79" s="5">
        <v>45703</v>
      </c>
      <c r="G79" s="27"/>
      <c r="J79"/>
      <c r="K79"/>
    </row>
    <row r="80" spans="1:11" ht="15.75" customHeight="1" x14ac:dyDescent="0.25">
      <c r="A80" s="2" t="s">
        <v>74</v>
      </c>
      <c r="B80" s="3">
        <v>5710.37</v>
      </c>
      <c r="C80" s="2" t="s">
        <v>72</v>
      </c>
      <c r="D80" s="2" t="s">
        <v>73</v>
      </c>
      <c r="E80" s="8" t="s">
        <v>12</v>
      </c>
      <c r="F80" s="5">
        <v>45703</v>
      </c>
      <c r="G80" s="27"/>
      <c r="J80"/>
      <c r="K80"/>
    </row>
    <row r="81" spans="1:11" ht="15.75" customHeight="1" x14ac:dyDescent="0.25">
      <c r="A81" s="2" t="s">
        <v>75</v>
      </c>
      <c r="B81" s="3">
        <v>60</v>
      </c>
      <c r="C81" s="2" t="s">
        <v>8</v>
      </c>
      <c r="D81" s="2" t="s">
        <v>63</v>
      </c>
      <c r="E81" s="8" t="s">
        <v>12</v>
      </c>
      <c r="F81" s="5">
        <v>45706</v>
      </c>
      <c r="G81" s="27"/>
      <c r="J81"/>
      <c r="K81"/>
    </row>
    <row r="82" spans="1:11" ht="15.75" customHeight="1" x14ac:dyDescent="0.25">
      <c r="A82" s="2" t="s">
        <v>76</v>
      </c>
      <c r="B82" s="3">
        <v>100</v>
      </c>
      <c r="C82" s="2" t="s">
        <v>8</v>
      </c>
      <c r="D82" s="2" t="s">
        <v>63</v>
      </c>
      <c r="E82" s="8" t="s">
        <v>12</v>
      </c>
      <c r="F82" s="5">
        <v>45713</v>
      </c>
      <c r="G82" s="27"/>
      <c r="J82"/>
      <c r="K82"/>
    </row>
    <row r="83" spans="1:11" ht="15.75" customHeight="1" x14ac:dyDescent="0.25">
      <c r="A83" s="2" t="s">
        <v>77</v>
      </c>
      <c r="B83" s="3">
        <v>49.9</v>
      </c>
      <c r="C83" s="2" t="s">
        <v>8</v>
      </c>
      <c r="D83" s="2" t="s">
        <v>20</v>
      </c>
      <c r="E83" s="8" t="s">
        <v>12</v>
      </c>
      <c r="F83" s="5">
        <v>45713</v>
      </c>
      <c r="G83" s="27"/>
      <c r="J83"/>
      <c r="K83"/>
    </row>
    <row r="84" spans="1:11" ht="15.75" customHeight="1" x14ac:dyDescent="0.25">
      <c r="A84" s="2" t="s">
        <v>79</v>
      </c>
      <c r="B84" s="3">
        <v>1698.46</v>
      </c>
      <c r="C84" s="2" t="s">
        <v>8</v>
      </c>
      <c r="D84" s="2" t="s">
        <v>68</v>
      </c>
      <c r="E84" s="8" t="s">
        <v>12</v>
      </c>
      <c r="F84" s="5">
        <v>45716</v>
      </c>
      <c r="G84" s="27"/>
      <c r="J84"/>
      <c r="K84"/>
    </row>
    <row r="85" spans="1:11" ht="15.75" customHeight="1" x14ac:dyDescent="0.25">
      <c r="A85" s="2" t="s">
        <v>80</v>
      </c>
      <c r="B85" s="3">
        <v>604.1</v>
      </c>
      <c r="C85" s="2" t="s">
        <v>8</v>
      </c>
      <c r="D85" s="2" t="s">
        <v>68</v>
      </c>
      <c r="E85" s="8" t="s">
        <v>12</v>
      </c>
      <c r="F85" s="5">
        <v>45716</v>
      </c>
      <c r="G85" s="27"/>
      <c r="J85"/>
      <c r="K85"/>
    </row>
    <row r="86" spans="1:11" ht="15.75" customHeight="1" x14ac:dyDescent="0.25">
      <c r="A86" s="2" t="s">
        <v>81</v>
      </c>
      <c r="B86" s="3">
        <v>113.7</v>
      </c>
      <c r="C86" s="2" t="s">
        <v>8</v>
      </c>
      <c r="D86" s="2" t="s">
        <v>68</v>
      </c>
      <c r="E86" s="8" t="s">
        <v>12</v>
      </c>
      <c r="F86" s="5">
        <v>45716</v>
      </c>
      <c r="G86" s="27"/>
      <c r="J86"/>
      <c r="K86"/>
    </row>
    <row r="87" spans="1:11" ht="15.75" customHeight="1" x14ac:dyDescent="0.25">
      <c r="A87" s="2" t="s">
        <v>82</v>
      </c>
      <c r="B87" s="3">
        <v>50</v>
      </c>
      <c r="C87" s="2" t="s">
        <v>8</v>
      </c>
      <c r="D87" s="2" t="s">
        <v>68</v>
      </c>
      <c r="E87" s="8" t="s">
        <v>12</v>
      </c>
      <c r="F87" s="5">
        <v>45716</v>
      </c>
      <c r="G87" s="27"/>
      <c r="J87"/>
      <c r="K87"/>
    </row>
    <row r="88" spans="1:11" ht="15.75" customHeight="1" x14ac:dyDescent="0.25">
      <c r="A88" s="2" t="s">
        <v>83</v>
      </c>
      <c r="B88" s="3">
        <v>4489.33</v>
      </c>
      <c r="C88" s="2" t="s">
        <v>72</v>
      </c>
      <c r="D88" s="2" t="s">
        <v>73</v>
      </c>
      <c r="E88" s="8" t="s">
        <v>12</v>
      </c>
      <c r="F88" s="5">
        <v>45716</v>
      </c>
      <c r="G88" s="27"/>
      <c r="J88"/>
      <c r="K88"/>
    </row>
    <row r="89" spans="1:11" ht="15.75" customHeight="1" x14ac:dyDescent="0.25">
      <c r="A89" s="2" t="s">
        <v>84</v>
      </c>
      <c r="B89" s="3">
        <v>3165.25</v>
      </c>
      <c r="C89" s="2" t="s">
        <v>72</v>
      </c>
      <c r="D89" s="2" t="s">
        <v>73</v>
      </c>
      <c r="E89" s="8" t="s">
        <v>17</v>
      </c>
      <c r="F89" s="5">
        <v>45716</v>
      </c>
      <c r="G89" s="27"/>
      <c r="J89"/>
      <c r="K89"/>
    </row>
    <row r="90" spans="1:11" ht="15.75" customHeight="1" x14ac:dyDescent="0.25">
      <c r="A90" s="2" t="s">
        <v>85</v>
      </c>
      <c r="B90" s="2">
        <v>25.9</v>
      </c>
      <c r="C90" s="2" t="s">
        <v>8</v>
      </c>
      <c r="D90" s="2" t="s">
        <v>20</v>
      </c>
      <c r="E90" s="8" t="s">
        <v>12</v>
      </c>
      <c r="F90" s="5">
        <v>45430</v>
      </c>
      <c r="G90" s="27"/>
      <c r="J90"/>
      <c r="K90"/>
    </row>
    <row r="91" spans="1:11" ht="15.75" customHeight="1" x14ac:dyDescent="0.25">
      <c r="A91" s="2" t="s">
        <v>190</v>
      </c>
      <c r="B91" s="2">
        <v>105.82</v>
      </c>
      <c r="C91" s="2" t="s">
        <v>8</v>
      </c>
      <c r="D91" s="2" t="s">
        <v>14</v>
      </c>
      <c r="E91" s="2" t="s">
        <v>12</v>
      </c>
      <c r="F91" s="5">
        <v>45627</v>
      </c>
      <c r="G91" s="191" t="s">
        <v>305</v>
      </c>
      <c r="J91"/>
      <c r="K91"/>
    </row>
    <row r="92" spans="1:11" ht="15.75" customHeight="1" x14ac:dyDescent="0.25">
      <c r="A92" s="2" t="s">
        <v>191</v>
      </c>
      <c r="B92" s="3">
        <f>877.5/12</f>
        <v>73.125</v>
      </c>
      <c r="C92" s="2" t="s">
        <v>8</v>
      </c>
      <c r="D92" s="2" t="s">
        <v>16</v>
      </c>
      <c r="E92" s="8" t="s">
        <v>12</v>
      </c>
      <c r="F92" s="5">
        <v>45629</v>
      </c>
      <c r="G92" s="191" t="s">
        <v>296</v>
      </c>
      <c r="J92"/>
      <c r="K92"/>
    </row>
    <row r="93" spans="1:11" ht="15.75" customHeight="1" x14ac:dyDescent="0.25">
      <c r="A93" s="2" t="s">
        <v>192</v>
      </c>
      <c r="B93" s="2">
        <v>46.61</v>
      </c>
      <c r="C93" s="2" t="s">
        <v>8</v>
      </c>
      <c r="D93" s="2" t="s">
        <v>22</v>
      </c>
      <c r="E93" s="2" t="s">
        <v>12</v>
      </c>
      <c r="F93" s="5">
        <v>45657</v>
      </c>
      <c r="G93" s="191" t="s">
        <v>308</v>
      </c>
      <c r="J93"/>
      <c r="K93"/>
    </row>
    <row r="94" spans="1:11" ht="15.75" customHeight="1" x14ac:dyDescent="0.25">
      <c r="A94" s="2" t="s">
        <v>193</v>
      </c>
      <c r="B94" s="3">
        <v>41.1</v>
      </c>
      <c r="C94" s="2" t="s">
        <v>8</v>
      </c>
      <c r="D94" s="2" t="s">
        <v>22</v>
      </c>
      <c r="E94" s="2" t="s">
        <v>12</v>
      </c>
      <c r="F94" s="5">
        <v>45657</v>
      </c>
      <c r="G94" s="191" t="s">
        <v>305</v>
      </c>
      <c r="J94"/>
      <c r="K94"/>
    </row>
    <row r="95" spans="1:11" ht="15.75" customHeight="1" x14ac:dyDescent="0.25">
      <c r="A95" s="2" t="s">
        <v>194</v>
      </c>
      <c r="B95" s="3">
        <v>54.3</v>
      </c>
      <c r="C95" s="2" t="s">
        <v>8</v>
      </c>
      <c r="D95" s="2" t="s">
        <v>14</v>
      </c>
      <c r="E95" s="2" t="s">
        <v>12</v>
      </c>
      <c r="F95" s="5">
        <v>45657</v>
      </c>
      <c r="G95" s="191" t="s">
        <v>305</v>
      </c>
      <c r="J95"/>
      <c r="K95"/>
    </row>
    <row r="96" spans="1:11" ht="15.75" customHeight="1" x14ac:dyDescent="0.25">
      <c r="A96" s="2" t="s">
        <v>195</v>
      </c>
      <c r="B96" s="18">
        <f>10*41.42-15.21</f>
        <v>398.99000000000007</v>
      </c>
      <c r="C96" s="2" t="s">
        <v>8</v>
      </c>
      <c r="D96" s="2" t="s">
        <v>22</v>
      </c>
      <c r="E96" s="8" t="s">
        <v>12</v>
      </c>
      <c r="F96" s="5">
        <v>45646</v>
      </c>
      <c r="G96" s="191" t="s">
        <v>296</v>
      </c>
      <c r="J96"/>
      <c r="K96"/>
    </row>
    <row r="97" spans="1:11" ht="15.75" customHeight="1" x14ac:dyDescent="0.25">
      <c r="A97" s="2" t="s">
        <v>196</v>
      </c>
      <c r="B97" s="3">
        <v>51.68</v>
      </c>
      <c r="C97" s="2" t="s">
        <v>8</v>
      </c>
      <c r="D97" s="2" t="s">
        <v>11</v>
      </c>
      <c r="E97" s="8" t="s">
        <v>12</v>
      </c>
      <c r="F97" s="5">
        <v>45643</v>
      </c>
      <c r="G97" s="191" t="s">
        <v>331</v>
      </c>
      <c r="J97"/>
      <c r="K97"/>
    </row>
    <row r="98" spans="1:11" ht="15.75" customHeight="1" x14ac:dyDescent="0.25">
      <c r="A98" s="2" t="s">
        <v>197</v>
      </c>
      <c r="B98" s="2">
        <v>82.17</v>
      </c>
      <c r="C98" s="2" t="s">
        <v>8</v>
      </c>
      <c r="D98" s="2" t="s">
        <v>14</v>
      </c>
      <c r="E98" s="2" t="s">
        <v>12</v>
      </c>
      <c r="F98" s="5">
        <v>45657</v>
      </c>
      <c r="G98" s="191" t="s">
        <v>304</v>
      </c>
      <c r="J98"/>
      <c r="K98"/>
    </row>
    <row r="99" spans="1:11" ht="15.75" customHeight="1" x14ac:dyDescent="0.25">
      <c r="A99" s="2" t="s">
        <v>198</v>
      </c>
      <c r="B99" s="2">
        <v>346.14</v>
      </c>
      <c r="C99" s="2" t="s">
        <v>8</v>
      </c>
      <c r="D99" s="2" t="s">
        <v>108</v>
      </c>
      <c r="E99" s="2" t="s">
        <v>12</v>
      </c>
      <c r="F99" s="5">
        <v>45657</v>
      </c>
      <c r="G99" s="191" t="s">
        <v>493</v>
      </c>
      <c r="J99"/>
      <c r="K99"/>
    </row>
    <row r="100" spans="1:11" ht="15.75" customHeight="1" x14ac:dyDescent="0.25">
      <c r="A100" s="2" t="s">
        <v>190</v>
      </c>
      <c r="B100" s="3">
        <v>58.15</v>
      </c>
      <c r="C100" s="2" t="s">
        <v>8</v>
      </c>
      <c r="D100" s="2" t="s">
        <v>14</v>
      </c>
      <c r="E100" s="2" t="s">
        <v>12</v>
      </c>
      <c r="F100" s="5">
        <v>45644</v>
      </c>
      <c r="G100" s="191" t="s">
        <v>305</v>
      </c>
      <c r="J100"/>
      <c r="K100"/>
    </row>
    <row r="101" spans="1:11" ht="15.75" customHeight="1" x14ac:dyDescent="0.25">
      <c r="A101" s="2" t="s">
        <v>199</v>
      </c>
      <c r="B101" s="3">
        <v>33.36</v>
      </c>
      <c r="C101" s="2" t="s">
        <v>8</v>
      </c>
      <c r="D101" s="2" t="s">
        <v>11</v>
      </c>
      <c r="E101" s="2" t="s">
        <v>12</v>
      </c>
      <c r="F101" s="5">
        <v>45639</v>
      </c>
      <c r="G101" s="191" t="s">
        <v>421</v>
      </c>
      <c r="J101"/>
      <c r="K101"/>
    </row>
    <row r="102" spans="1:11" ht="15.75" customHeight="1" x14ac:dyDescent="0.25">
      <c r="A102" s="2" t="s">
        <v>200</v>
      </c>
      <c r="B102" s="2">
        <v>44.97</v>
      </c>
      <c r="C102" s="2" t="s">
        <v>8</v>
      </c>
      <c r="D102" s="2" t="s">
        <v>14</v>
      </c>
      <c r="E102" s="2" t="s">
        <v>12</v>
      </c>
      <c r="F102" s="5">
        <v>45657</v>
      </c>
      <c r="G102" s="191" t="s">
        <v>304</v>
      </c>
      <c r="J102"/>
      <c r="K102"/>
    </row>
    <row r="103" spans="1:11" ht="15.75" customHeight="1" x14ac:dyDescent="0.25">
      <c r="A103" s="2" t="s">
        <v>201</v>
      </c>
      <c r="B103" s="2">
        <v>27.01</v>
      </c>
      <c r="C103" s="2" t="s">
        <v>8</v>
      </c>
      <c r="D103" s="2" t="s">
        <v>22</v>
      </c>
      <c r="E103" s="2" t="s">
        <v>12</v>
      </c>
      <c r="F103" s="5">
        <v>45657</v>
      </c>
      <c r="G103" s="191" t="s">
        <v>332</v>
      </c>
      <c r="J103"/>
      <c r="K103"/>
    </row>
    <row r="104" spans="1:11" ht="15.75" customHeight="1" x14ac:dyDescent="0.25">
      <c r="A104" s="2" t="s">
        <v>202</v>
      </c>
      <c r="B104" s="3">
        <v>81.819999999999993</v>
      </c>
      <c r="C104" s="2" t="s">
        <v>8</v>
      </c>
      <c r="D104" s="2" t="s">
        <v>16</v>
      </c>
      <c r="E104" s="8" t="s">
        <v>12</v>
      </c>
      <c r="F104" s="5">
        <v>45662</v>
      </c>
      <c r="G104" s="191" t="s">
        <v>304</v>
      </c>
      <c r="J104"/>
      <c r="K104"/>
    </row>
    <row r="105" spans="1:11" ht="15.75" customHeight="1" x14ac:dyDescent="0.25">
      <c r="A105" s="2" t="s">
        <v>203</v>
      </c>
      <c r="B105" s="3">
        <v>91.19</v>
      </c>
      <c r="C105" s="2" t="s">
        <v>8</v>
      </c>
      <c r="D105" s="2" t="s">
        <v>22</v>
      </c>
      <c r="E105" s="8" t="s">
        <v>12</v>
      </c>
      <c r="F105" s="5">
        <v>45663</v>
      </c>
      <c r="G105" s="191" t="s">
        <v>304</v>
      </c>
      <c r="J105"/>
      <c r="K105"/>
    </row>
    <row r="106" spans="1:11" ht="15.75" customHeight="1" x14ac:dyDescent="0.25">
      <c r="A106" s="2" t="s">
        <v>204</v>
      </c>
      <c r="B106" s="3">
        <v>95.62</v>
      </c>
      <c r="C106" s="2" t="s">
        <v>8</v>
      </c>
      <c r="D106" s="2" t="s">
        <v>14</v>
      </c>
      <c r="E106" s="8" t="s">
        <v>12</v>
      </c>
      <c r="F106" s="5">
        <v>45663</v>
      </c>
      <c r="G106" s="191" t="s">
        <v>300</v>
      </c>
      <c r="J106"/>
      <c r="K106"/>
    </row>
    <row r="107" spans="1:11" ht="15.75" customHeight="1" x14ac:dyDescent="0.25">
      <c r="A107" s="2" t="s">
        <v>203</v>
      </c>
      <c r="B107" s="3">
        <v>102.46</v>
      </c>
      <c r="C107" s="2" t="s">
        <v>8</v>
      </c>
      <c r="D107" s="2" t="s">
        <v>22</v>
      </c>
      <c r="E107" s="8" t="s">
        <v>12</v>
      </c>
      <c r="F107" s="5">
        <v>45663</v>
      </c>
      <c r="G107" s="191" t="s">
        <v>304</v>
      </c>
      <c r="J107"/>
      <c r="K107"/>
    </row>
    <row r="108" spans="1:11" ht="15.75" customHeight="1" x14ac:dyDescent="0.25">
      <c r="A108" s="2" t="s">
        <v>205</v>
      </c>
      <c r="B108" s="3">
        <v>68.8</v>
      </c>
      <c r="C108" s="2" t="s">
        <v>8</v>
      </c>
      <c r="D108" s="2" t="s">
        <v>22</v>
      </c>
      <c r="E108" s="8" t="s">
        <v>12</v>
      </c>
      <c r="F108" s="5">
        <v>45668</v>
      </c>
      <c r="G108" s="191" t="s">
        <v>295</v>
      </c>
      <c r="J108"/>
      <c r="K108"/>
    </row>
    <row r="109" spans="1:11" ht="15.75" customHeight="1" x14ac:dyDescent="0.25">
      <c r="A109" s="2" t="s">
        <v>206</v>
      </c>
      <c r="B109" s="3">
        <v>69.95</v>
      </c>
      <c r="C109" s="2" t="s">
        <v>8</v>
      </c>
      <c r="D109" s="2" t="s">
        <v>22</v>
      </c>
      <c r="E109" s="8" t="s">
        <v>12</v>
      </c>
      <c r="F109" s="5">
        <v>45669</v>
      </c>
      <c r="G109" s="191" t="s">
        <v>327</v>
      </c>
      <c r="J109"/>
      <c r="K109"/>
    </row>
    <row r="110" spans="1:11" ht="15.75" customHeight="1" x14ac:dyDescent="0.25">
      <c r="A110" s="2" t="s">
        <v>207</v>
      </c>
      <c r="B110" s="3">
        <f>371.02/2</f>
        <v>185.51</v>
      </c>
      <c r="C110" s="2" t="s">
        <v>8</v>
      </c>
      <c r="D110" s="2" t="s">
        <v>22</v>
      </c>
      <c r="E110" s="8" t="s">
        <v>12</v>
      </c>
      <c r="F110" s="5">
        <v>45670</v>
      </c>
      <c r="G110" s="191" t="s">
        <v>327</v>
      </c>
      <c r="J110"/>
      <c r="K110"/>
    </row>
    <row r="111" spans="1:11" ht="15.75" customHeight="1" x14ac:dyDescent="0.25">
      <c r="A111" s="2" t="s">
        <v>208</v>
      </c>
      <c r="B111" s="3">
        <f>188.1/3</f>
        <v>62.699999999999996</v>
      </c>
      <c r="C111" s="2" t="s">
        <v>8</v>
      </c>
      <c r="D111" s="2" t="s">
        <v>14</v>
      </c>
      <c r="E111" s="8" t="s">
        <v>12</v>
      </c>
      <c r="F111" s="5">
        <v>45672</v>
      </c>
      <c r="G111" s="191" t="s">
        <v>304</v>
      </c>
      <c r="J111"/>
      <c r="K111"/>
    </row>
    <row r="112" spans="1:11" ht="15.75" customHeight="1" x14ac:dyDescent="0.25">
      <c r="A112" s="2" t="s">
        <v>209</v>
      </c>
      <c r="B112" s="3">
        <v>75</v>
      </c>
      <c r="C112" s="2" t="s">
        <v>8</v>
      </c>
      <c r="D112" s="2" t="s">
        <v>14</v>
      </c>
      <c r="E112" s="2" t="s">
        <v>12</v>
      </c>
      <c r="F112" s="5">
        <v>45674</v>
      </c>
      <c r="G112" s="191" t="s">
        <v>304</v>
      </c>
      <c r="J112"/>
      <c r="K112"/>
    </row>
    <row r="113" spans="1:11" ht="15.75" customHeight="1" x14ac:dyDescent="0.25">
      <c r="A113" s="2" t="s">
        <v>210</v>
      </c>
      <c r="B113" s="3">
        <v>40.58</v>
      </c>
      <c r="C113" s="2" t="s">
        <v>8</v>
      </c>
      <c r="D113" s="2" t="s">
        <v>22</v>
      </c>
      <c r="E113" s="2" t="s">
        <v>12</v>
      </c>
      <c r="F113" s="5">
        <v>45678</v>
      </c>
      <c r="G113" s="191" t="s">
        <v>304</v>
      </c>
      <c r="J113"/>
      <c r="K113"/>
    </row>
    <row r="114" spans="1:11" ht="15.75" customHeight="1" x14ac:dyDescent="0.25">
      <c r="A114" s="2" t="s">
        <v>211</v>
      </c>
      <c r="B114" s="3">
        <f>216/6</f>
        <v>36</v>
      </c>
      <c r="C114" s="2" t="s">
        <v>8</v>
      </c>
      <c r="D114" s="2" t="s">
        <v>22</v>
      </c>
      <c r="E114" s="2" t="s">
        <v>12</v>
      </c>
      <c r="F114" s="5">
        <v>45680</v>
      </c>
      <c r="G114" s="191" t="s">
        <v>332</v>
      </c>
      <c r="J114"/>
      <c r="K114"/>
    </row>
    <row r="115" spans="1:11" ht="15.75" customHeight="1" x14ac:dyDescent="0.25">
      <c r="A115" s="2" t="s">
        <v>212</v>
      </c>
      <c r="B115" s="3">
        <f>598.8/12</f>
        <v>49.9</v>
      </c>
      <c r="C115" s="2" t="s">
        <v>8</v>
      </c>
      <c r="D115" s="2" t="s">
        <v>20</v>
      </c>
      <c r="E115" s="2" t="s">
        <v>12</v>
      </c>
      <c r="F115" s="5">
        <v>45681</v>
      </c>
      <c r="G115" s="191" t="s">
        <v>295</v>
      </c>
      <c r="J115"/>
      <c r="K115"/>
    </row>
    <row r="116" spans="1:11" ht="15.75" customHeight="1" x14ac:dyDescent="0.25">
      <c r="A116" s="2" t="s">
        <v>213</v>
      </c>
      <c r="B116" s="3">
        <f>197.94/6</f>
        <v>32.99</v>
      </c>
      <c r="C116" s="2" t="s">
        <v>8</v>
      </c>
      <c r="D116" s="2" t="s">
        <v>11</v>
      </c>
      <c r="E116" s="8" t="s">
        <v>12</v>
      </c>
      <c r="F116" s="5">
        <v>45683</v>
      </c>
      <c r="G116" s="191" t="s">
        <v>332</v>
      </c>
      <c r="J116"/>
      <c r="K116"/>
    </row>
    <row r="117" spans="1:11" ht="15.75" customHeight="1" x14ac:dyDescent="0.25">
      <c r="A117" s="2" t="s">
        <v>214</v>
      </c>
      <c r="B117" s="3">
        <v>68.17</v>
      </c>
      <c r="C117" s="2" t="s">
        <v>8</v>
      </c>
      <c r="D117" s="2" t="s">
        <v>22</v>
      </c>
      <c r="E117" s="8" t="s">
        <v>12</v>
      </c>
      <c r="F117" s="5">
        <v>45684</v>
      </c>
      <c r="G117" s="191" t="s">
        <v>327</v>
      </c>
      <c r="J117"/>
      <c r="K117"/>
    </row>
    <row r="118" spans="1:11" ht="15.75" customHeight="1" x14ac:dyDescent="0.25">
      <c r="A118" s="2" t="s">
        <v>215</v>
      </c>
      <c r="B118" s="3">
        <f>413.95/3</f>
        <v>137.98333333333332</v>
      </c>
      <c r="C118" s="2" t="s">
        <v>8</v>
      </c>
      <c r="D118" s="2" t="s">
        <v>22</v>
      </c>
      <c r="E118" s="8" t="s">
        <v>12</v>
      </c>
      <c r="F118" s="5">
        <v>45685</v>
      </c>
      <c r="G118" s="191" t="s">
        <v>304</v>
      </c>
      <c r="J118"/>
      <c r="K118"/>
    </row>
    <row r="119" spans="1:11" ht="15.75" customHeight="1" x14ac:dyDescent="0.25">
      <c r="A119" s="2" t="s">
        <v>216</v>
      </c>
      <c r="B119" s="3">
        <f>595/4</f>
        <v>148.75</v>
      </c>
      <c r="C119" s="2" t="s">
        <v>8</v>
      </c>
      <c r="D119" s="2" t="s">
        <v>14</v>
      </c>
      <c r="E119" s="8" t="s">
        <v>12</v>
      </c>
      <c r="F119" s="5">
        <v>45685</v>
      </c>
      <c r="G119" s="191" t="s">
        <v>300</v>
      </c>
      <c r="J119"/>
      <c r="K119"/>
    </row>
    <row r="120" spans="1:11" ht="15.75" customHeight="1" x14ac:dyDescent="0.25">
      <c r="A120" s="17" t="s">
        <v>43</v>
      </c>
      <c r="B120" s="17">
        <v>13.74</v>
      </c>
      <c r="C120" s="2" t="s">
        <v>8</v>
      </c>
      <c r="D120" s="2" t="s">
        <v>31</v>
      </c>
      <c r="E120" s="17" t="s">
        <v>12</v>
      </c>
      <c r="F120" s="26">
        <v>45716</v>
      </c>
      <c r="G120" s="27" t="s">
        <v>293</v>
      </c>
      <c r="J120"/>
      <c r="K120"/>
    </row>
    <row r="121" spans="1:11" ht="15.75" customHeight="1" x14ac:dyDescent="0.25">
      <c r="A121" s="17" t="s">
        <v>120</v>
      </c>
      <c r="B121" s="17">
        <v>18.8</v>
      </c>
      <c r="C121" s="2" t="s">
        <v>8</v>
      </c>
      <c r="D121" s="2" t="s">
        <v>31</v>
      </c>
      <c r="E121" s="17" t="s">
        <v>12</v>
      </c>
      <c r="F121" s="26">
        <v>45716</v>
      </c>
      <c r="G121" s="27" t="s">
        <v>293</v>
      </c>
      <c r="J121"/>
      <c r="K121"/>
    </row>
    <row r="122" spans="1:11" ht="15.75" customHeight="1" x14ac:dyDescent="0.25">
      <c r="A122" s="17" t="s">
        <v>120</v>
      </c>
      <c r="B122" s="17">
        <v>17</v>
      </c>
      <c r="C122" s="2" t="s">
        <v>8</v>
      </c>
      <c r="D122" s="2" t="s">
        <v>31</v>
      </c>
      <c r="E122" s="17" t="s">
        <v>12</v>
      </c>
      <c r="F122" s="26">
        <v>45716</v>
      </c>
      <c r="G122" s="27" t="s">
        <v>293</v>
      </c>
      <c r="J122"/>
      <c r="K122"/>
    </row>
    <row r="123" spans="1:11" ht="15.75" customHeight="1" x14ac:dyDescent="0.25">
      <c r="A123" s="17" t="s">
        <v>120</v>
      </c>
      <c r="B123" s="17">
        <v>14.8</v>
      </c>
      <c r="C123" s="2" t="s">
        <v>8</v>
      </c>
      <c r="D123" s="2" t="s">
        <v>31</v>
      </c>
      <c r="E123" s="17" t="s">
        <v>12</v>
      </c>
      <c r="F123" s="26">
        <v>45716</v>
      </c>
      <c r="G123" s="27" t="s">
        <v>293</v>
      </c>
      <c r="J123"/>
      <c r="K123"/>
    </row>
    <row r="124" spans="1:11" ht="15.75" customHeight="1" x14ac:dyDescent="0.25">
      <c r="A124" s="17" t="s">
        <v>177</v>
      </c>
      <c r="B124" s="17">
        <v>20</v>
      </c>
      <c r="C124" s="2" t="s">
        <v>8</v>
      </c>
      <c r="D124" s="2" t="s">
        <v>22</v>
      </c>
      <c r="E124" s="17" t="s">
        <v>17</v>
      </c>
      <c r="F124" s="26">
        <v>45716</v>
      </c>
      <c r="G124" s="27" t="s">
        <v>293</v>
      </c>
      <c r="J124"/>
      <c r="K124"/>
    </row>
    <row r="125" spans="1:11" ht="15.75" customHeight="1" x14ac:dyDescent="0.25">
      <c r="C125" s="2"/>
      <c r="D125" s="2"/>
      <c r="G125" s="27"/>
      <c r="J125"/>
      <c r="K125"/>
    </row>
    <row r="126" spans="1:11" ht="15.75" customHeight="1" x14ac:dyDescent="0.25">
      <c r="C126" s="2"/>
      <c r="D126" s="2"/>
      <c r="G126" s="27"/>
      <c r="J126"/>
      <c r="K126"/>
    </row>
    <row r="127" spans="1:11" ht="15.75" customHeight="1" x14ac:dyDescent="0.25">
      <c r="C127" s="2"/>
      <c r="D127" s="2"/>
      <c r="G127" s="27"/>
      <c r="J127"/>
      <c r="K127"/>
    </row>
    <row r="128" spans="1:11" ht="15.75" customHeight="1" x14ac:dyDescent="0.25">
      <c r="C128" s="2"/>
      <c r="D128" s="2"/>
      <c r="G128" s="27"/>
      <c r="J128"/>
      <c r="K128"/>
    </row>
    <row r="129" spans="3:11" ht="15.75" customHeight="1" x14ac:dyDescent="0.25">
      <c r="C129" s="2"/>
      <c r="D129" s="2"/>
      <c r="G129" s="27"/>
      <c r="J129"/>
      <c r="K129"/>
    </row>
    <row r="130" spans="3:11" ht="15.75" customHeight="1" x14ac:dyDescent="0.25">
      <c r="C130" s="2"/>
      <c r="D130" s="2"/>
      <c r="G130" s="27"/>
      <c r="J130"/>
      <c r="K130"/>
    </row>
    <row r="131" spans="3:11" ht="15.75" customHeight="1" x14ac:dyDescent="0.25">
      <c r="C131" s="2"/>
      <c r="D131" s="2"/>
      <c r="G131" s="27"/>
      <c r="J131"/>
      <c r="K131"/>
    </row>
    <row r="132" spans="3:11" ht="15.75" customHeight="1" x14ac:dyDescent="0.25">
      <c r="C132" s="2"/>
      <c r="D132" s="2"/>
      <c r="G132" s="27"/>
      <c r="J132"/>
      <c r="K132"/>
    </row>
    <row r="133" spans="3:11" ht="15.75" customHeight="1" x14ac:dyDescent="0.25">
      <c r="C133" s="2"/>
      <c r="D133" s="2"/>
      <c r="G133" s="27"/>
      <c r="J133"/>
      <c r="K133"/>
    </row>
    <row r="134" spans="3:11" ht="15.75" customHeight="1" x14ac:dyDescent="0.25">
      <c r="C134" s="2"/>
      <c r="D134" s="2"/>
      <c r="G134" s="27"/>
      <c r="J134"/>
      <c r="K134"/>
    </row>
    <row r="135" spans="3:11" ht="15.75" customHeight="1" x14ac:dyDescent="0.25">
      <c r="C135" s="2"/>
      <c r="D135" s="2"/>
      <c r="G135" s="27"/>
      <c r="J135"/>
      <c r="K135"/>
    </row>
    <row r="136" spans="3:11" ht="15.75" customHeight="1" x14ac:dyDescent="0.25">
      <c r="C136" s="2"/>
      <c r="D136" s="2"/>
      <c r="G136" s="27"/>
      <c r="J136"/>
      <c r="K136"/>
    </row>
    <row r="137" spans="3:11" ht="15.75" customHeight="1" x14ac:dyDescent="0.25">
      <c r="C137" s="2"/>
      <c r="D137" s="2"/>
      <c r="G137" s="27"/>
      <c r="J137"/>
      <c r="K137"/>
    </row>
    <row r="138" spans="3:11" ht="15.75" customHeight="1" x14ac:dyDescent="0.25">
      <c r="C138" s="2"/>
      <c r="D138" s="2"/>
      <c r="G138" s="27"/>
      <c r="J138"/>
      <c r="K138"/>
    </row>
    <row r="139" spans="3:11" ht="15.75" customHeight="1" x14ac:dyDescent="0.25">
      <c r="C139" s="2"/>
      <c r="D139" s="2"/>
      <c r="G139" s="27"/>
      <c r="J139"/>
      <c r="K139"/>
    </row>
    <row r="140" spans="3:11" ht="15.75" customHeight="1" x14ac:dyDescent="0.25">
      <c r="C140" s="2"/>
      <c r="D140" s="2"/>
      <c r="G140" s="27"/>
      <c r="J140"/>
      <c r="K140"/>
    </row>
    <row r="141" spans="3:11" ht="15.75" customHeight="1" x14ac:dyDescent="0.25">
      <c r="C141" s="2"/>
      <c r="D141" s="2"/>
      <c r="G141" s="27"/>
      <c r="J141"/>
      <c r="K141"/>
    </row>
    <row r="142" spans="3:11" ht="15.75" customHeight="1" x14ac:dyDescent="0.25">
      <c r="C142" s="2"/>
      <c r="D142" s="2"/>
      <c r="G142" s="27"/>
      <c r="J142"/>
      <c r="K142"/>
    </row>
    <row r="143" spans="3:11" ht="15.75" customHeight="1" x14ac:dyDescent="0.25">
      <c r="C143" s="2"/>
      <c r="D143" s="2"/>
      <c r="G143" s="27"/>
      <c r="J143"/>
      <c r="K143"/>
    </row>
    <row r="144" spans="3:11" ht="15.75" customHeight="1" x14ac:dyDescent="0.25">
      <c r="C144" s="2"/>
      <c r="D144" s="2"/>
      <c r="G144" s="27"/>
      <c r="J144"/>
      <c r="K144"/>
    </row>
    <row r="145" spans="3:11" ht="15.75" customHeight="1" x14ac:dyDescent="0.25">
      <c r="C145" s="2"/>
      <c r="D145" s="2"/>
      <c r="G145" s="27"/>
      <c r="J145"/>
      <c r="K145"/>
    </row>
    <row r="146" spans="3:11" ht="15.75" customHeight="1" x14ac:dyDescent="0.25">
      <c r="C146" s="2"/>
      <c r="D146" s="2"/>
      <c r="G146" s="27"/>
      <c r="J146"/>
      <c r="K146"/>
    </row>
    <row r="147" spans="3:11" ht="15.75" customHeight="1" x14ac:dyDescent="0.25">
      <c r="C147" s="2"/>
      <c r="D147" s="2"/>
      <c r="G147" s="27"/>
      <c r="J147"/>
      <c r="K147"/>
    </row>
    <row r="148" spans="3:11" ht="15.75" customHeight="1" x14ac:dyDescent="0.25">
      <c r="C148" s="2"/>
      <c r="D148" s="2"/>
      <c r="G148" s="27"/>
      <c r="J148"/>
      <c r="K148"/>
    </row>
    <row r="149" spans="3:11" ht="15.75" customHeight="1" x14ac:dyDescent="0.25">
      <c r="C149" s="2"/>
      <c r="D149" s="2"/>
      <c r="G149" s="27"/>
      <c r="J149"/>
      <c r="K149"/>
    </row>
    <row r="150" spans="3:11" ht="15.75" customHeight="1" x14ac:dyDescent="0.25">
      <c r="C150" s="2"/>
      <c r="D150" s="2"/>
      <c r="J150"/>
      <c r="K150"/>
    </row>
    <row r="151" spans="3:11" ht="15.75" customHeight="1" x14ac:dyDescent="0.25">
      <c r="C151" s="2"/>
      <c r="D151" s="2"/>
      <c r="J151"/>
      <c r="K151"/>
    </row>
    <row r="152" spans="3:11" ht="15.75" customHeight="1" x14ac:dyDescent="0.25">
      <c r="C152" s="2"/>
      <c r="D152" s="2"/>
      <c r="J152"/>
      <c r="K152"/>
    </row>
    <row r="153" spans="3:11" ht="15.75" customHeight="1" x14ac:dyDescent="0.25">
      <c r="C153" s="2"/>
      <c r="D153" s="2"/>
      <c r="J153"/>
      <c r="K153"/>
    </row>
    <row r="154" spans="3:11" ht="15.75" customHeight="1" x14ac:dyDescent="0.25">
      <c r="C154" s="2"/>
      <c r="D154" s="2"/>
      <c r="J154"/>
      <c r="K154"/>
    </row>
    <row r="155" spans="3:11" ht="15.75" customHeight="1" x14ac:dyDescent="0.25">
      <c r="C155" s="2"/>
      <c r="D155" s="2"/>
      <c r="J155"/>
      <c r="K155"/>
    </row>
    <row r="156" spans="3:11" ht="15.75" customHeight="1" x14ac:dyDescent="0.25">
      <c r="C156" s="2"/>
      <c r="D156" s="2"/>
      <c r="J156"/>
      <c r="K156"/>
    </row>
    <row r="157" spans="3:11" ht="15.75" customHeight="1" x14ac:dyDescent="0.25">
      <c r="C157" s="2"/>
      <c r="D157" s="2"/>
      <c r="J157"/>
      <c r="K157"/>
    </row>
    <row r="158" spans="3:11" ht="15.75" customHeight="1" x14ac:dyDescent="0.25">
      <c r="C158" s="2"/>
      <c r="D158" s="2"/>
      <c r="J158"/>
      <c r="K158"/>
    </row>
    <row r="159" spans="3:11" ht="15.75" customHeight="1" x14ac:dyDescent="0.25">
      <c r="C159" s="2"/>
      <c r="D159" s="2"/>
      <c r="J159"/>
      <c r="K159"/>
    </row>
    <row r="160" spans="3:11" ht="15.75" customHeight="1" x14ac:dyDescent="0.25">
      <c r="C160" s="2"/>
      <c r="D160" s="2"/>
      <c r="J160"/>
      <c r="K160"/>
    </row>
    <row r="161" spans="3:11" ht="15.75" customHeight="1" x14ac:dyDescent="0.25">
      <c r="C161" s="2"/>
      <c r="D161" s="2"/>
      <c r="J161"/>
      <c r="K161"/>
    </row>
    <row r="162" spans="3:11" ht="15.75" customHeight="1" x14ac:dyDescent="0.25">
      <c r="C162" s="2"/>
      <c r="D162" s="2"/>
      <c r="J162"/>
      <c r="K162"/>
    </row>
    <row r="163" spans="3:11" ht="15.75" customHeight="1" x14ac:dyDescent="0.25">
      <c r="C163" s="2"/>
      <c r="D163" s="2"/>
      <c r="J163"/>
      <c r="K163"/>
    </row>
    <row r="164" spans="3:11" ht="15.75" customHeight="1" x14ac:dyDescent="0.25">
      <c r="C164" s="2"/>
      <c r="D164" s="2"/>
      <c r="J164"/>
      <c r="K164"/>
    </row>
    <row r="165" spans="3:11" ht="15.75" customHeight="1" x14ac:dyDescent="0.25">
      <c r="C165" s="2"/>
      <c r="D165" s="2"/>
      <c r="J165"/>
      <c r="K165"/>
    </row>
    <row r="166" spans="3:11" ht="15.75" customHeight="1" x14ac:dyDescent="0.25">
      <c r="C166" s="2"/>
      <c r="D166" s="2"/>
      <c r="J166"/>
      <c r="K166"/>
    </row>
    <row r="167" spans="3:11" ht="15.75" customHeight="1" x14ac:dyDescent="0.25">
      <c r="C167" s="2"/>
      <c r="D167" s="2"/>
      <c r="J167"/>
      <c r="K167"/>
    </row>
    <row r="168" spans="3:11" ht="15.75" customHeight="1" x14ac:dyDescent="0.25">
      <c r="C168" s="2"/>
      <c r="D168" s="2"/>
      <c r="J168"/>
      <c r="K168"/>
    </row>
    <row r="169" spans="3:11" ht="15.75" customHeight="1" x14ac:dyDescent="0.25">
      <c r="C169" s="2"/>
      <c r="D169" s="2"/>
      <c r="J169"/>
      <c r="K169"/>
    </row>
    <row r="170" spans="3:11" ht="15.75" customHeight="1" x14ac:dyDescent="0.25">
      <c r="C170" s="2"/>
      <c r="D170" s="2"/>
      <c r="J170"/>
      <c r="K170"/>
    </row>
    <row r="171" spans="3:11" ht="15.75" customHeight="1" x14ac:dyDescent="0.25">
      <c r="C171" s="2"/>
      <c r="D171" s="2"/>
      <c r="J171"/>
      <c r="K171"/>
    </row>
    <row r="172" spans="3:11" ht="15.75" customHeight="1" x14ac:dyDescent="0.25">
      <c r="C172" s="2"/>
      <c r="D172" s="2"/>
      <c r="J172"/>
      <c r="K172"/>
    </row>
    <row r="173" spans="3:11" ht="15.75" customHeight="1" x14ac:dyDescent="0.25">
      <c r="C173" s="2"/>
      <c r="D173" s="2"/>
      <c r="J173"/>
      <c r="K173"/>
    </row>
    <row r="174" spans="3:11" ht="15.75" customHeight="1" x14ac:dyDescent="0.25">
      <c r="C174" s="2"/>
      <c r="D174" s="2"/>
      <c r="J174"/>
      <c r="K174"/>
    </row>
    <row r="175" spans="3:11" ht="15.75" customHeight="1" x14ac:dyDescent="0.25">
      <c r="C175" s="2"/>
      <c r="D175" s="2"/>
      <c r="J175"/>
      <c r="K175"/>
    </row>
    <row r="176" spans="3:11" ht="15.75" customHeight="1" x14ac:dyDescent="0.25">
      <c r="C176" s="2"/>
      <c r="D176" s="2"/>
      <c r="J176"/>
      <c r="K176"/>
    </row>
    <row r="177" spans="3:11" ht="15.75" customHeight="1" x14ac:dyDescent="0.25">
      <c r="C177" s="2"/>
      <c r="D177" s="2"/>
      <c r="J177"/>
      <c r="K177"/>
    </row>
    <row r="178" spans="3:11" ht="15.75" customHeight="1" x14ac:dyDescent="0.25">
      <c r="C178" s="2"/>
      <c r="D178" s="2"/>
      <c r="J178"/>
      <c r="K178"/>
    </row>
    <row r="179" spans="3:11" ht="15.75" customHeight="1" x14ac:dyDescent="0.25">
      <c r="C179" s="2"/>
      <c r="D179" s="2"/>
      <c r="J179"/>
      <c r="K179"/>
    </row>
    <row r="180" spans="3:11" ht="15.75" customHeight="1" x14ac:dyDescent="0.25">
      <c r="C180" s="2"/>
      <c r="D180" s="2"/>
      <c r="J180"/>
      <c r="K180"/>
    </row>
    <row r="181" spans="3:11" ht="15.75" customHeight="1" x14ac:dyDescent="0.25">
      <c r="C181" s="2"/>
      <c r="D181" s="2"/>
      <c r="J181"/>
      <c r="K181"/>
    </row>
    <row r="182" spans="3:11" ht="15.75" customHeight="1" x14ac:dyDescent="0.25">
      <c r="C182" s="2"/>
      <c r="D182" s="2"/>
      <c r="J182"/>
      <c r="K182"/>
    </row>
    <row r="183" spans="3:11" ht="15.75" customHeight="1" x14ac:dyDescent="0.25">
      <c r="C183" s="2"/>
      <c r="D183" s="2"/>
      <c r="J183"/>
      <c r="K183"/>
    </row>
    <row r="184" spans="3:11" ht="15.75" customHeight="1" x14ac:dyDescent="0.25">
      <c r="C184" s="2"/>
      <c r="D184" s="2"/>
      <c r="J184"/>
      <c r="K184"/>
    </row>
    <row r="185" spans="3:11" ht="15.75" customHeight="1" x14ac:dyDescent="0.25">
      <c r="C185" s="2"/>
      <c r="D185" s="2"/>
      <c r="J185"/>
      <c r="K185"/>
    </row>
    <row r="186" spans="3:11" ht="15.75" customHeight="1" x14ac:dyDescent="0.25">
      <c r="C186" s="2"/>
      <c r="D186" s="2"/>
      <c r="J186"/>
      <c r="K186"/>
    </row>
    <row r="187" spans="3:11" ht="15.75" customHeight="1" x14ac:dyDescent="0.25">
      <c r="C187" s="2"/>
      <c r="D187" s="2"/>
      <c r="J187"/>
      <c r="K187"/>
    </row>
    <row r="188" spans="3:11" ht="15.75" customHeight="1" x14ac:dyDescent="0.25">
      <c r="C188" s="2"/>
      <c r="D188" s="2"/>
      <c r="J188"/>
      <c r="K188"/>
    </row>
    <row r="189" spans="3:11" ht="15.75" customHeight="1" x14ac:dyDescent="0.25">
      <c r="C189" s="2"/>
      <c r="D189" s="2"/>
      <c r="J189"/>
      <c r="K189"/>
    </row>
    <row r="190" spans="3:11" ht="15.75" customHeight="1" x14ac:dyDescent="0.25">
      <c r="C190" s="2"/>
      <c r="D190" s="2"/>
      <c r="J190"/>
      <c r="K190"/>
    </row>
    <row r="191" spans="3:11" ht="15.75" customHeight="1" x14ac:dyDescent="0.25">
      <c r="C191" s="2"/>
      <c r="D191" s="2"/>
      <c r="J191"/>
      <c r="K191"/>
    </row>
    <row r="192" spans="3:11" ht="15.75" customHeight="1" x14ac:dyDescent="0.25">
      <c r="C192" s="2"/>
      <c r="D192" s="2"/>
      <c r="J192"/>
      <c r="K192"/>
    </row>
    <row r="193" spans="3:11" ht="15.75" customHeight="1" x14ac:dyDescent="0.25">
      <c r="C193" s="2"/>
      <c r="D193" s="2"/>
      <c r="J193"/>
      <c r="K193"/>
    </row>
    <row r="194" spans="3:11" ht="15.75" customHeight="1" x14ac:dyDescent="0.25">
      <c r="C194" s="2"/>
      <c r="D194" s="2"/>
      <c r="J194"/>
      <c r="K194"/>
    </row>
    <row r="195" spans="3:11" ht="15.75" customHeight="1" x14ac:dyDescent="0.25">
      <c r="C195" s="2"/>
      <c r="D195" s="2"/>
      <c r="J195"/>
      <c r="K195"/>
    </row>
    <row r="196" spans="3:11" ht="15.75" customHeight="1" x14ac:dyDescent="0.25">
      <c r="C196" s="2"/>
      <c r="D196" s="2"/>
      <c r="J196"/>
      <c r="K196"/>
    </row>
    <row r="197" spans="3:11" ht="15.75" customHeight="1" x14ac:dyDescent="0.25">
      <c r="C197" s="2"/>
      <c r="D197" s="2"/>
      <c r="J197"/>
      <c r="K197"/>
    </row>
    <row r="198" spans="3:11" ht="15.75" customHeight="1" x14ac:dyDescent="0.25">
      <c r="C198" s="2"/>
      <c r="D198" s="2"/>
      <c r="J198"/>
      <c r="K198"/>
    </row>
    <row r="199" spans="3:11" ht="15.75" customHeight="1" x14ac:dyDescent="0.25">
      <c r="C199" s="2"/>
      <c r="D199" s="2"/>
      <c r="J199"/>
      <c r="K199"/>
    </row>
    <row r="200" spans="3:11" ht="15.75" customHeight="1" x14ac:dyDescent="0.25">
      <c r="C200" s="2"/>
      <c r="D200" s="2"/>
      <c r="J200"/>
      <c r="K200"/>
    </row>
    <row r="201" spans="3:11" ht="15.75" customHeight="1" x14ac:dyDescent="0.25">
      <c r="C201" s="2"/>
      <c r="D201" s="2"/>
      <c r="J201"/>
      <c r="K201"/>
    </row>
    <row r="202" spans="3:11" ht="15.75" customHeight="1" x14ac:dyDescent="0.25">
      <c r="C202" s="2"/>
      <c r="D202" s="2"/>
      <c r="J202"/>
      <c r="K202"/>
    </row>
    <row r="203" spans="3:11" ht="15.75" customHeight="1" x14ac:dyDescent="0.25">
      <c r="C203" s="2"/>
      <c r="D203" s="2"/>
      <c r="J203"/>
      <c r="K203"/>
    </row>
    <row r="204" spans="3:11" ht="15.75" customHeight="1" x14ac:dyDescent="0.25">
      <c r="C204" s="2"/>
      <c r="D204" s="2"/>
      <c r="J204"/>
      <c r="K204"/>
    </row>
    <row r="205" spans="3:11" ht="15.75" customHeight="1" x14ac:dyDescent="0.25">
      <c r="C205" s="2"/>
      <c r="D205" s="2"/>
      <c r="J205"/>
      <c r="K205"/>
    </row>
    <row r="206" spans="3:11" ht="15.75" customHeight="1" x14ac:dyDescent="0.25">
      <c r="C206" s="2"/>
      <c r="D206" s="2"/>
      <c r="J206"/>
      <c r="K206"/>
    </row>
    <row r="207" spans="3:11" ht="15.75" customHeight="1" x14ac:dyDescent="0.25">
      <c r="C207" s="2"/>
      <c r="D207" s="2"/>
      <c r="J207"/>
      <c r="K207"/>
    </row>
    <row r="208" spans="3:11" ht="15.75" customHeight="1" x14ac:dyDescent="0.25">
      <c r="C208" s="2"/>
      <c r="D208" s="2"/>
      <c r="J208"/>
      <c r="K208"/>
    </row>
    <row r="209" spans="3:11" ht="15.75" customHeight="1" x14ac:dyDescent="0.25">
      <c r="C209" s="2"/>
      <c r="D209" s="2"/>
      <c r="J209"/>
      <c r="K209"/>
    </row>
    <row r="210" spans="3:11" ht="15.75" customHeight="1" x14ac:dyDescent="0.25">
      <c r="C210" s="2"/>
      <c r="D210" s="2"/>
      <c r="J210"/>
      <c r="K210"/>
    </row>
    <row r="211" spans="3:11" ht="15.75" customHeight="1" x14ac:dyDescent="0.25">
      <c r="C211" s="2"/>
      <c r="D211" s="2"/>
      <c r="J211"/>
      <c r="K211"/>
    </row>
    <row r="212" spans="3:11" ht="15.75" customHeight="1" x14ac:dyDescent="0.25">
      <c r="C212" s="2"/>
      <c r="D212" s="2"/>
      <c r="J212"/>
      <c r="K212"/>
    </row>
    <row r="213" spans="3:11" ht="15.75" customHeight="1" x14ac:dyDescent="0.25">
      <c r="C213" s="2"/>
      <c r="D213" s="2"/>
      <c r="J213"/>
      <c r="K213"/>
    </row>
    <row r="214" spans="3:11" ht="15.75" customHeight="1" x14ac:dyDescent="0.25">
      <c r="C214" s="2"/>
      <c r="D214" s="2"/>
      <c r="J214"/>
      <c r="K214"/>
    </row>
    <row r="215" spans="3:11" ht="15.75" customHeight="1" x14ac:dyDescent="0.25">
      <c r="C215" s="2"/>
      <c r="D215" s="2"/>
      <c r="J215"/>
      <c r="K215"/>
    </row>
    <row r="216" spans="3:11" ht="15.75" customHeight="1" x14ac:dyDescent="0.25">
      <c r="C216" s="2"/>
      <c r="D216" s="2"/>
      <c r="J216"/>
      <c r="K216"/>
    </row>
    <row r="217" spans="3:11" ht="15.75" customHeight="1" x14ac:dyDescent="0.25">
      <c r="C217" s="2"/>
      <c r="D217" s="2"/>
    </row>
    <row r="218" spans="3:11" ht="15.75" customHeight="1" x14ac:dyDescent="0.25">
      <c r="C218" s="2"/>
      <c r="D218" s="2"/>
    </row>
    <row r="219" spans="3:11" ht="15.75" customHeight="1" x14ac:dyDescent="0.25">
      <c r="C219" s="2"/>
      <c r="D219" s="2"/>
    </row>
    <row r="220" spans="3:11" ht="15.75" customHeight="1" x14ac:dyDescent="0.25">
      <c r="C220" s="2"/>
      <c r="D220" s="2"/>
    </row>
    <row r="221" spans="3:11" ht="15.75" customHeight="1" x14ac:dyDescent="0.25">
      <c r="C221" s="2"/>
      <c r="D221" s="2"/>
    </row>
    <row r="222" spans="3:11" ht="15.75" customHeight="1" x14ac:dyDescent="0.25">
      <c r="C222" s="2"/>
      <c r="D222" s="2"/>
    </row>
    <row r="223" spans="3:11" ht="15.75" customHeight="1" x14ac:dyDescent="0.25">
      <c r="C223" s="2"/>
      <c r="D223" s="2"/>
    </row>
    <row r="224" spans="3:11" ht="15.75" customHeight="1" x14ac:dyDescent="0.25">
      <c r="C224" s="2"/>
      <c r="D224" s="2"/>
    </row>
    <row r="225" spans="3:4" ht="15.75" customHeight="1" x14ac:dyDescent="0.25">
      <c r="C225" s="2"/>
      <c r="D225" s="2"/>
    </row>
    <row r="226" spans="3:4" ht="15.75" customHeight="1" x14ac:dyDescent="0.25">
      <c r="C226" s="2"/>
      <c r="D226" s="2"/>
    </row>
    <row r="227" spans="3:4" ht="15.75" customHeight="1" x14ac:dyDescent="0.25">
      <c r="C227" s="2"/>
      <c r="D227" s="2"/>
    </row>
    <row r="228" spans="3:4" ht="15.75" customHeight="1" x14ac:dyDescent="0.25">
      <c r="C228" s="2"/>
      <c r="D228" s="2"/>
    </row>
    <row r="229" spans="3:4" ht="15.75" customHeight="1" x14ac:dyDescent="0.25">
      <c r="C229" s="2"/>
      <c r="D229" s="2"/>
    </row>
    <row r="230" spans="3:4" ht="15.75" customHeight="1" x14ac:dyDescent="0.25">
      <c r="C230" s="2"/>
      <c r="D230" s="2"/>
    </row>
    <row r="231" spans="3:4" ht="15.75" customHeight="1" x14ac:dyDescent="0.25">
      <c r="C231" s="2"/>
      <c r="D231" s="2"/>
    </row>
    <row r="232" spans="3:4" ht="15.75" customHeight="1" x14ac:dyDescent="0.25">
      <c r="C232" s="2"/>
      <c r="D232" s="2"/>
    </row>
    <row r="233" spans="3:4" ht="15.75" customHeight="1" x14ac:dyDescent="0.25">
      <c r="C233" s="2"/>
      <c r="D233" s="2"/>
    </row>
    <row r="234" spans="3:4" ht="15.75" customHeight="1" x14ac:dyDescent="0.25">
      <c r="C234" s="2"/>
      <c r="D234" s="2"/>
    </row>
    <row r="235" spans="3:4" ht="15.75" customHeight="1" x14ac:dyDescent="0.25">
      <c r="C235" s="2"/>
      <c r="D235" s="2"/>
    </row>
    <row r="236" spans="3:4" ht="15.75" customHeight="1" x14ac:dyDescent="0.25">
      <c r="C236" s="2"/>
      <c r="D236" s="2"/>
    </row>
    <row r="237" spans="3:4" ht="15.75" customHeight="1" x14ac:dyDescent="0.25">
      <c r="C237" s="2"/>
      <c r="D237" s="2"/>
    </row>
    <row r="238" spans="3:4" ht="15.75" customHeight="1" x14ac:dyDescent="0.25">
      <c r="C238" s="2"/>
      <c r="D238" s="2"/>
    </row>
    <row r="239" spans="3:4" ht="15.75" customHeight="1" x14ac:dyDescent="0.25">
      <c r="C239" s="2"/>
      <c r="D239" s="2"/>
    </row>
    <row r="240" spans="3:4" ht="15.75" customHeight="1" x14ac:dyDescent="0.25">
      <c r="C240" s="2"/>
      <c r="D240" s="2"/>
    </row>
    <row r="241" spans="3:4" ht="15.75" customHeight="1" x14ac:dyDescent="0.25">
      <c r="C241" s="2"/>
      <c r="D241" s="2"/>
    </row>
    <row r="242" spans="3:4" ht="15.75" customHeight="1" x14ac:dyDescent="0.25">
      <c r="C242" s="2"/>
      <c r="D242" s="2"/>
    </row>
    <row r="243" spans="3:4" ht="15.75" customHeight="1" x14ac:dyDescent="0.25">
      <c r="C243" s="2"/>
      <c r="D243" s="2"/>
    </row>
    <row r="244" spans="3:4" ht="15.75" customHeight="1" x14ac:dyDescent="0.25">
      <c r="C244" s="2"/>
      <c r="D244" s="2"/>
    </row>
    <row r="245" spans="3:4" ht="15.75" customHeight="1" x14ac:dyDescent="0.25">
      <c r="C245" s="2"/>
      <c r="D245" s="2"/>
    </row>
    <row r="246" spans="3:4" ht="15.75" customHeight="1" x14ac:dyDescent="0.25">
      <c r="C246" s="2"/>
      <c r="D246" s="2"/>
    </row>
    <row r="247" spans="3:4" ht="15.75" customHeight="1" x14ac:dyDescent="0.25">
      <c r="C247" s="2"/>
      <c r="D247" s="2"/>
    </row>
    <row r="248" spans="3:4" ht="15.75" customHeight="1" x14ac:dyDescent="0.25">
      <c r="C248" s="2"/>
      <c r="D248" s="2"/>
    </row>
    <row r="249" spans="3:4" ht="15.75" customHeight="1" x14ac:dyDescent="0.25">
      <c r="C249" s="2"/>
      <c r="D249" s="2"/>
    </row>
    <row r="250" spans="3:4" ht="15.75" customHeight="1" x14ac:dyDescent="0.25">
      <c r="C250" s="2"/>
      <c r="D250" s="2"/>
    </row>
    <row r="251" spans="3:4" ht="15.75" customHeight="1" x14ac:dyDescent="0.25">
      <c r="C251" s="2"/>
      <c r="D251" s="2"/>
    </row>
    <row r="252" spans="3:4" ht="15.75" customHeight="1" x14ac:dyDescent="0.25">
      <c r="C252" s="2"/>
      <c r="D252" s="2"/>
    </row>
    <row r="253" spans="3:4" ht="15.75" customHeight="1" x14ac:dyDescent="0.25">
      <c r="C253" s="2"/>
      <c r="D253" s="2"/>
    </row>
    <row r="254" spans="3:4" ht="15.75" customHeight="1" x14ac:dyDescent="0.25">
      <c r="C254" s="2"/>
      <c r="D254" s="2"/>
    </row>
    <row r="255" spans="3:4" ht="15.75" customHeight="1" x14ac:dyDescent="0.25">
      <c r="C255" s="2"/>
      <c r="D255" s="2"/>
    </row>
    <row r="256" spans="3:4" ht="15.75" customHeight="1" x14ac:dyDescent="0.25">
      <c r="C256" s="2"/>
      <c r="D256" s="2"/>
    </row>
    <row r="257" spans="3:4" ht="15.75" customHeight="1" x14ac:dyDescent="0.25">
      <c r="C257" s="2"/>
      <c r="D257" s="2"/>
    </row>
    <row r="258" spans="3:4" ht="15.75" customHeight="1" x14ac:dyDescent="0.25">
      <c r="C258" s="2"/>
      <c r="D258" s="2"/>
    </row>
    <row r="259" spans="3:4" ht="15.75" customHeight="1" x14ac:dyDescent="0.25">
      <c r="C259" s="2"/>
      <c r="D259" s="2"/>
    </row>
    <row r="260" spans="3:4" ht="15.75" customHeight="1" x14ac:dyDescent="0.25">
      <c r="C260" s="2"/>
      <c r="D260" s="2"/>
    </row>
    <row r="261" spans="3:4" ht="15.75" customHeight="1" x14ac:dyDescent="0.25">
      <c r="C261" s="2"/>
      <c r="D261" s="2"/>
    </row>
    <row r="262" spans="3:4" ht="15.75" customHeight="1" x14ac:dyDescent="0.25">
      <c r="C262" s="2"/>
      <c r="D262" s="2"/>
    </row>
    <row r="263" spans="3:4" ht="15.75" customHeight="1" x14ac:dyDescent="0.25">
      <c r="C263" s="2"/>
      <c r="D263" s="2"/>
    </row>
    <row r="264" spans="3:4" ht="15.75" customHeight="1" x14ac:dyDescent="0.25">
      <c r="C264" s="2"/>
      <c r="D264" s="2"/>
    </row>
    <row r="265" spans="3:4" ht="15.75" customHeight="1" x14ac:dyDescent="0.25">
      <c r="C265" s="2"/>
      <c r="D265" s="2"/>
    </row>
    <row r="266" spans="3:4" ht="15.75" customHeight="1" x14ac:dyDescent="0.25">
      <c r="C266" s="2"/>
      <c r="D266" s="2"/>
    </row>
    <row r="267" spans="3:4" ht="15.75" customHeight="1" x14ac:dyDescent="0.25">
      <c r="C267" s="2"/>
      <c r="D267" s="2"/>
    </row>
    <row r="268" spans="3:4" ht="15.75" customHeight="1" x14ac:dyDescent="0.25">
      <c r="C268" s="2"/>
      <c r="D268" s="2"/>
    </row>
    <row r="269" spans="3:4" ht="15.75" customHeight="1" x14ac:dyDescent="0.25">
      <c r="C269" s="2"/>
      <c r="D269" s="2"/>
    </row>
    <row r="270" spans="3:4" ht="15.75" customHeight="1" x14ac:dyDescent="0.25">
      <c r="C270" s="2"/>
      <c r="D270" s="2"/>
    </row>
    <row r="271" spans="3:4" ht="15.75" customHeight="1" x14ac:dyDescent="0.25">
      <c r="C271" s="2"/>
      <c r="D271" s="2"/>
    </row>
    <row r="272" spans="3:4" ht="15.75" customHeight="1" x14ac:dyDescent="0.25">
      <c r="C272" s="2"/>
      <c r="D272" s="2"/>
    </row>
    <row r="273" spans="3:4" ht="15.75" customHeight="1" x14ac:dyDescent="0.25">
      <c r="C273" s="2"/>
      <c r="D273" s="2"/>
    </row>
    <row r="274" spans="3:4" ht="15.75" customHeight="1" x14ac:dyDescent="0.25">
      <c r="C274" s="2"/>
      <c r="D274" s="2"/>
    </row>
    <row r="275" spans="3:4" ht="15.75" customHeight="1" x14ac:dyDescent="0.25">
      <c r="C275" s="2"/>
      <c r="D275" s="2"/>
    </row>
    <row r="276" spans="3:4" ht="15.75" customHeight="1" x14ac:dyDescent="0.25">
      <c r="C276" s="2"/>
      <c r="D276" s="2"/>
    </row>
    <row r="277" spans="3:4" ht="15.75" customHeight="1" x14ac:dyDescent="0.25">
      <c r="C277" s="2"/>
      <c r="D277" s="2"/>
    </row>
    <row r="278" spans="3:4" ht="15.75" customHeight="1" x14ac:dyDescent="0.25">
      <c r="C278" s="2"/>
      <c r="D278" s="2"/>
    </row>
    <row r="279" spans="3:4" ht="15.75" customHeight="1" x14ac:dyDescent="0.25">
      <c r="C279" s="2"/>
      <c r="D279" s="2"/>
    </row>
    <row r="280" spans="3:4" ht="15.75" customHeight="1" x14ac:dyDescent="0.25">
      <c r="C280" s="2"/>
      <c r="D280" s="2"/>
    </row>
    <row r="281" spans="3:4" ht="15.75" customHeight="1" x14ac:dyDescent="0.25">
      <c r="C281" s="2"/>
      <c r="D281" s="2"/>
    </row>
    <row r="282" spans="3:4" ht="15.75" customHeight="1" x14ac:dyDescent="0.25">
      <c r="C282" s="2"/>
      <c r="D282" s="2"/>
    </row>
    <row r="283" spans="3:4" ht="15.75" customHeight="1" x14ac:dyDescent="0.25">
      <c r="C283" s="2"/>
      <c r="D283" s="2"/>
    </row>
    <row r="284" spans="3:4" ht="15.75" customHeight="1" x14ac:dyDescent="0.25">
      <c r="C284" s="2"/>
      <c r="D284" s="2"/>
    </row>
    <row r="285" spans="3:4" ht="15.75" customHeight="1" x14ac:dyDescent="0.25">
      <c r="C285" s="2"/>
      <c r="D285" s="2"/>
    </row>
    <row r="286" spans="3:4" ht="15.75" customHeight="1" x14ac:dyDescent="0.25">
      <c r="C286" s="2"/>
      <c r="D286" s="2"/>
    </row>
    <row r="287" spans="3:4" ht="15.75" customHeight="1" x14ac:dyDescent="0.25">
      <c r="C287" s="2"/>
      <c r="D287" s="2"/>
    </row>
    <row r="288" spans="3:4" ht="15.75" customHeight="1" x14ac:dyDescent="0.25">
      <c r="C288" s="2"/>
      <c r="D288" s="2"/>
    </row>
    <row r="289" spans="3:4" ht="15.75" customHeight="1" x14ac:dyDescent="0.25">
      <c r="C289" s="2"/>
      <c r="D289" s="2"/>
    </row>
    <row r="290" spans="3:4" ht="15.75" customHeight="1" x14ac:dyDescent="0.25">
      <c r="C290" s="2"/>
      <c r="D290" s="2"/>
    </row>
    <row r="291" spans="3:4" ht="15.75" customHeight="1" x14ac:dyDescent="0.25">
      <c r="C291" s="2"/>
      <c r="D291" s="2"/>
    </row>
    <row r="292" spans="3:4" ht="15.75" customHeight="1" x14ac:dyDescent="0.25">
      <c r="C292" s="2"/>
      <c r="D292" s="2"/>
    </row>
    <row r="293" spans="3:4" ht="15.75" customHeight="1" x14ac:dyDescent="0.25">
      <c r="C293" s="2"/>
      <c r="D293" s="2"/>
    </row>
    <row r="294" spans="3:4" ht="15.75" customHeight="1" x14ac:dyDescent="0.25">
      <c r="C294" s="2"/>
      <c r="D294" s="2"/>
    </row>
    <row r="295" spans="3:4" ht="15.75" customHeight="1" x14ac:dyDescent="0.25">
      <c r="C295" s="2"/>
      <c r="D295" s="2"/>
    </row>
    <row r="296" spans="3:4" ht="15.75" customHeight="1" x14ac:dyDescent="0.25">
      <c r="C296" s="2"/>
      <c r="D296" s="2"/>
    </row>
    <row r="297" spans="3:4" ht="15.75" customHeight="1" x14ac:dyDescent="0.25">
      <c r="C297" s="2"/>
      <c r="D297" s="2"/>
    </row>
    <row r="298" spans="3:4" ht="15.75" customHeight="1" x14ac:dyDescent="0.25">
      <c r="C298" s="2"/>
      <c r="D298" s="2"/>
    </row>
    <row r="299" spans="3:4" ht="15.75" customHeight="1" x14ac:dyDescent="0.25">
      <c r="C299" s="2"/>
      <c r="D299" s="2"/>
    </row>
    <row r="300" spans="3:4" ht="15.75" customHeight="1" x14ac:dyDescent="0.25">
      <c r="C300" s="2"/>
      <c r="D300" s="2"/>
    </row>
    <row r="301" spans="3:4" ht="15.75" customHeight="1" x14ac:dyDescent="0.25">
      <c r="C301" s="2"/>
      <c r="D301" s="2"/>
    </row>
    <row r="302" spans="3:4" ht="15.75" customHeight="1" x14ac:dyDescent="0.25">
      <c r="C302" s="2"/>
      <c r="D302" s="2"/>
    </row>
    <row r="303" spans="3:4" ht="15.75" customHeight="1" x14ac:dyDescent="0.25">
      <c r="C303" s="2"/>
      <c r="D303" s="2"/>
    </row>
    <row r="304" spans="3:4" ht="15.75" customHeight="1" x14ac:dyDescent="0.25">
      <c r="C304" s="2"/>
      <c r="D304" s="2"/>
    </row>
    <row r="305" spans="3:4" ht="15.75" customHeight="1" x14ac:dyDescent="0.25">
      <c r="C305" s="2"/>
      <c r="D305" s="2"/>
    </row>
    <row r="306" spans="3:4" ht="15.75" customHeight="1" x14ac:dyDescent="0.25">
      <c r="C306" s="2"/>
      <c r="D306" s="2"/>
    </row>
    <row r="307" spans="3:4" ht="15.75" customHeight="1" x14ac:dyDescent="0.25">
      <c r="C307" s="2"/>
      <c r="D307" s="2"/>
    </row>
    <row r="308" spans="3:4" ht="15.75" customHeight="1" x14ac:dyDescent="0.25">
      <c r="C308" s="2"/>
      <c r="D308" s="2"/>
    </row>
    <row r="309" spans="3:4" ht="15.75" customHeight="1" x14ac:dyDescent="0.25">
      <c r="C309" s="2"/>
      <c r="D309" s="2"/>
    </row>
    <row r="310" spans="3:4" ht="15.75" customHeight="1" x14ac:dyDescent="0.25">
      <c r="C310" s="2"/>
      <c r="D310" s="2"/>
    </row>
    <row r="311" spans="3:4" ht="15.75" customHeight="1" x14ac:dyDescent="0.25">
      <c r="C311" s="2"/>
      <c r="D311" s="2"/>
    </row>
    <row r="312" spans="3:4" ht="15.75" customHeight="1" x14ac:dyDescent="0.25">
      <c r="C312" s="2"/>
      <c r="D312" s="2"/>
    </row>
    <row r="313" spans="3:4" ht="15.75" customHeight="1" x14ac:dyDescent="0.25">
      <c r="C313" s="2"/>
      <c r="D313" s="2"/>
    </row>
    <row r="314" spans="3:4" ht="15.75" customHeight="1" x14ac:dyDescent="0.25">
      <c r="C314" s="2"/>
      <c r="D314" s="2"/>
    </row>
    <row r="315" spans="3:4" ht="15.75" customHeight="1" x14ac:dyDescent="0.25">
      <c r="C315" s="2"/>
      <c r="D315" s="2"/>
    </row>
    <row r="316" spans="3:4" ht="15.75" customHeight="1" x14ac:dyDescent="0.25">
      <c r="C316" s="2"/>
      <c r="D316" s="2"/>
    </row>
    <row r="317" spans="3:4" ht="15.75" customHeight="1" x14ac:dyDescent="0.25">
      <c r="C317" s="2"/>
      <c r="D317" s="2"/>
    </row>
    <row r="318" spans="3:4" ht="15.75" customHeight="1" x14ac:dyDescent="0.25">
      <c r="C318" s="2"/>
      <c r="D318" s="2"/>
    </row>
    <row r="319" spans="3:4" ht="15.75" customHeight="1" x14ac:dyDescent="0.25">
      <c r="C319" s="2"/>
      <c r="D319" s="2"/>
    </row>
    <row r="320" spans="3:4" ht="15.75" customHeight="1" x14ac:dyDescent="0.25">
      <c r="C320" s="2"/>
      <c r="D320" s="2"/>
    </row>
    <row r="321" spans="3:4" ht="15.75" customHeight="1" x14ac:dyDescent="0.25">
      <c r="C321" s="2"/>
      <c r="D321" s="2"/>
    </row>
    <row r="322" spans="3:4" ht="15.75" customHeight="1" x14ac:dyDescent="0.25">
      <c r="C322" s="2"/>
      <c r="D322" s="2"/>
    </row>
    <row r="323" spans="3:4" ht="15.75" customHeight="1" x14ac:dyDescent="0.25">
      <c r="C323" s="2"/>
      <c r="D323" s="2"/>
    </row>
    <row r="324" spans="3:4" ht="15.75" customHeight="1" x14ac:dyDescent="0.25">
      <c r="C324" s="2"/>
      <c r="D324" s="2"/>
    </row>
    <row r="325" spans="3:4" ht="15.75" customHeight="1" x14ac:dyDescent="0.25">
      <c r="C325" s="2"/>
      <c r="D325" s="2"/>
    </row>
    <row r="326" spans="3:4" ht="15.75" customHeight="1" x14ac:dyDescent="0.25">
      <c r="C326" s="2"/>
      <c r="D326" s="2"/>
    </row>
    <row r="327" spans="3:4" ht="15.75" customHeight="1" x14ac:dyDescent="0.25">
      <c r="C327" s="2"/>
      <c r="D327" s="2"/>
    </row>
    <row r="328" spans="3:4" ht="15.75" customHeight="1" x14ac:dyDescent="0.25">
      <c r="C328" s="2"/>
      <c r="D328" s="2"/>
    </row>
    <row r="329" spans="3:4" ht="15.75" customHeight="1" x14ac:dyDescent="0.25">
      <c r="C329" s="2"/>
      <c r="D329" s="2"/>
    </row>
    <row r="330" spans="3:4" ht="15.75" customHeight="1" x14ac:dyDescent="0.25">
      <c r="C330" s="2"/>
      <c r="D330" s="2"/>
    </row>
    <row r="331" spans="3:4" ht="15.75" customHeight="1" x14ac:dyDescent="0.25">
      <c r="C331" s="2"/>
      <c r="D331" s="2"/>
    </row>
    <row r="332" spans="3:4" ht="15.75" customHeight="1" x14ac:dyDescent="0.25">
      <c r="C332" s="2"/>
      <c r="D332" s="2"/>
    </row>
    <row r="333" spans="3:4" ht="15.75" customHeight="1" x14ac:dyDescent="0.25">
      <c r="C333" s="2"/>
      <c r="D333" s="2"/>
    </row>
    <row r="334" spans="3:4" ht="15.75" customHeight="1" x14ac:dyDescent="0.25">
      <c r="C334" s="2"/>
      <c r="D334" s="2"/>
    </row>
    <row r="335" spans="3:4" ht="15.75" customHeight="1" x14ac:dyDescent="0.25">
      <c r="C335" s="2"/>
      <c r="D335" s="2"/>
    </row>
    <row r="336" spans="3:4" ht="15.75" customHeight="1" x14ac:dyDescent="0.25">
      <c r="C336" s="2"/>
      <c r="D336" s="2"/>
    </row>
    <row r="337" spans="3:4" ht="15.75" customHeight="1" x14ac:dyDescent="0.25">
      <c r="C337" s="2"/>
      <c r="D337" s="2"/>
    </row>
    <row r="338" spans="3:4" ht="15.75" customHeight="1" x14ac:dyDescent="0.25">
      <c r="C338" s="2"/>
      <c r="D338" s="2"/>
    </row>
    <row r="339" spans="3:4" ht="15.75" customHeight="1" x14ac:dyDescent="0.25">
      <c r="C339" s="2"/>
      <c r="D339" s="2"/>
    </row>
    <row r="340" spans="3:4" ht="15.75" customHeight="1" x14ac:dyDescent="0.25">
      <c r="C340" s="2"/>
      <c r="D340" s="2"/>
    </row>
    <row r="341" spans="3:4" ht="15.75" customHeight="1" x14ac:dyDescent="0.25">
      <c r="C341" s="2"/>
      <c r="D341" s="2"/>
    </row>
    <row r="342" spans="3:4" ht="15.75" customHeight="1" x14ac:dyDescent="0.25">
      <c r="C342" s="2"/>
      <c r="D342" s="2"/>
    </row>
    <row r="343" spans="3:4" ht="15.75" customHeight="1" x14ac:dyDescent="0.25">
      <c r="C343" s="2"/>
      <c r="D343" s="2"/>
    </row>
    <row r="344" spans="3:4" ht="15.75" customHeight="1" x14ac:dyDescent="0.25">
      <c r="C344" s="2"/>
      <c r="D344" s="2"/>
    </row>
    <row r="345" spans="3:4" ht="15.75" customHeight="1" x14ac:dyDescent="0.25">
      <c r="C345" s="2"/>
      <c r="D345" s="2"/>
    </row>
    <row r="346" spans="3:4" ht="15.75" customHeight="1" x14ac:dyDescent="0.25">
      <c r="C346" s="2"/>
      <c r="D346" s="2"/>
    </row>
    <row r="347" spans="3:4" ht="15.75" customHeight="1" x14ac:dyDescent="0.25">
      <c r="C347" s="2"/>
      <c r="D347" s="2"/>
    </row>
    <row r="348" spans="3:4" ht="15.75" customHeight="1" x14ac:dyDescent="0.25">
      <c r="C348" s="2"/>
      <c r="D348" s="2"/>
    </row>
    <row r="349" spans="3:4" ht="15.75" customHeight="1" x14ac:dyDescent="0.25">
      <c r="C349" s="2"/>
      <c r="D349" s="2"/>
    </row>
    <row r="350" spans="3:4" ht="15.75" customHeight="1" x14ac:dyDescent="0.25">
      <c r="C350" s="2"/>
      <c r="D350" s="2"/>
    </row>
    <row r="351" spans="3:4" ht="15.75" customHeight="1" x14ac:dyDescent="0.25">
      <c r="C351" s="2"/>
      <c r="D351" s="2"/>
    </row>
    <row r="352" spans="3:4" ht="15.75" customHeight="1" x14ac:dyDescent="0.25">
      <c r="C352" s="2"/>
      <c r="D352" s="2"/>
    </row>
    <row r="353" spans="3:4" ht="15.75" customHeight="1" x14ac:dyDescent="0.25">
      <c r="C353" s="2"/>
      <c r="D353" s="2"/>
    </row>
    <row r="354" spans="3:4" ht="15.75" customHeight="1" x14ac:dyDescent="0.25">
      <c r="C354" s="2"/>
      <c r="D354" s="2"/>
    </row>
    <row r="355" spans="3:4" ht="15.75" customHeight="1" x14ac:dyDescent="0.25">
      <c r="C355" s="2"/>
      <c r="D355" s="2"/>
    </row>
    <row r="356" spans="3:4" ht="15.75" customHeight="1" x14ac:dyDescent="0.25">
      <c r="C356" s="2"/>
      <c r="D356" s="2"/>
    </row>
    <row r="357" spans="3:4" ht="15.75" customHeight="1" x14ac:dyDescent="0.25">
      <c r="C357" s="2"/>
      <c r="D357" s="2"/>
    </row>
    <row r="358" spans="3:4" ht="15.75" customHeight="1" x14ac:dyDescent="0.25">
      <c r="C358" s="2"/>
      <c r="D358" s="2"/>
    </row>
    <row r="359" spans="3:4" ht="15.75" customHeight="1" x14ac:dyDescent="0.25">
      <c r="C359" s="2"/>
      <c r="D359" s="2"/>
    </row>
    <row r="360" spans="3:4" ht="15.75" customHeight="1" x14ac:dyDescent="0.25">
      <c r="C360" s="2"/>
      <c r="D360" s="2"/>
    </row>
    <row r="361" spans="3:4" ht="15.75" customHeight="1" x14ac:dyDescent="0.25">
      <c r="C361" s="2"/>
      <c r="D361" s="2"/>
    </row>
    <row r="362" spans="3:4" ht="15.75" customHeight="1" x14ac:dyDescent="0.25">
      <c r="C362" s="2"/>
      <c r="D362" s="2"/>
    </row>
    <row r="363" spans="3:4" ht="15.75" customHeight="1" x14ac:dyDescent="0.25">
      <c r="C363" s="2"/>
      <c r="D363" s="2"/>
    </row>
    <row r="364" spans="3:4" ht="15.75" customHeight="1" x14ac:dyDescent="0.25">
      <c r="C364" s="2"/>
      <c r="D364" s="2"/>
    </row>
    <row r="365" spans="3:4" ht="15.75" customHeight="1" x14ac:dyDescent="0.25">
      <c r="C365" s="2"/>
      <c r="D365" s="2"/>
    </row>
    <row r="366" spans="3:4" ht="15.75" customHeight="1" x14ac:dyDescent="0.25">
      <c r="C366" s="2"/>
      <c r="D366" s="2"/>
    </row>
    <row r="367" spans="3:4" ht="15.75" customHeight="1" x14ac:dyDescent="0.25">
      <c r="C367" s="2"/>
      <c r="D367" s="2"/>
    </row>
    <row r="368" spans="3:4" ht="15.75" customHeight="1" x14ac:dyDescent="0.25">
      <c r="C368" s="2"/>
      <c r="D368" s="2"/>
    </row>
    <row r="369" spans="3:4" ht="15.75" customHeight="1" x14ac:dyDescent="0.25">
      <c r="C369" s="2"/>
      <c r="D369" s="2"/>
    </row>
    <row r="370" spans="3:4" ht="15.75" customHeight="1" x14ac:dyDescent="0.25">
      <c r="C370" s="2"/>
      <c r="D370" s="2"/>
    </row>
    <row r="371" spans="3:4" ht="15.75" customHeight="1" x14ac:dyDescent="0.25">
      <c r="C371" s="2"/>
      <c r="D371" s="2"/>
    </row>
    <row r="372" spans="3:4" ht="15.75" customHeight="1" x14ac:dyDescent="0.25">
      <c r="C372" s="2"/>
      <c r="D372" s="2"/>
    </row>
    <row r="373" spans="3:4" ht="15.75" customHeight="1" x14ac:dyDescent="0.25">
      <c r="C373" s="2"/>
      <c r="D373" s="2"/>
    </row>
    <row r="374" spans="3:4" ht="15.75" customHeight="1" x14ac:dyDescent="0.25">
      <c r="C374" s="2"/>
      <c r="D374" s="2"/>
    </row>
    <row r="375" spans="3:4" ht="15.75" customHeight="1" x14ac:dyDescent="0.25">
      <c r="C375" s="2"/>
      <c r="D375" s="2"/>
    </row>
    <row r="376" spans="3:4" ht="15.75" customHeight="1" x14ac:dyDescent="0.25">
      <c r="C376" s="2"/>
      <c r="D376" s="2"/>
    </row>
    <row r="377" spans="3:4" ht="15.75" customHeight="1" x14ac:dyDescent="0.25">
      <c r="C377" s="2"/>
      <c r="D377" s="2"/>
    </row>
    <row r="378" spans="3:4" ht="15.75" customHeight="1" x14ac:dyDescent="0.25">
      <c r="C378" s="2"/>
      <c r="D378" s="2"/>
    </row>
    <row r="379" spans="3:4" ht="15.75" customHeight="1" x14ac:dyDescent="0.25">
      <c r="C379" s="2"/>
      <c r="D379" s="2"/>
    </row>
    <row r="380" spans="3:4" ht="15.75" customHeight="1" x14ac:dyDescent="0.25">
      <c r="C380" s="2"/>
      <c r="D380" s="2"/>
    </row>
    <row r="381" spans="3:4" ht="15.75" customHeight="1" x14ac:dyDescent="0.25">
      <c r="C381" s="2"/>
      <c r="D381" s="2"/>
    </row>
    <row r="382" spans="3:4" ht="15.75" customHeight="1" x14ac:dyDescent="0.25">
      <c r="C382" s="2"/>
      <c r="D382" s="2"/>
    </row>
    <row r="383" spans="3:4" ht="15.75" customHeight="1" x14ac:dyDescent="0.25">
      <c r="C383" s="2"/>
      <c r="D383" s="2"/>
    </row>
    <row r="384" spans="3:4" ht="15.75" customHeight="1" x14ac:dyDescent="0.25">
      <c r="C384" s="2"/>
      <c r="D384" s="2"/>
    </row>
    <row r="385" spans="3:4" ht="15.75" customHeight="1" x14ac:dyDescent="0.25">
      <c r="C385" s="2"/>
      <c r="D385" s="2"/>
    </row>
    <row r="386" spans="3:4" ht="15.75" customHeight="1" x14ac:dyDescent="0.25">
      <c r="C386" s="2"/>
      <c r="D386" s="2"/>
    </row>
    <row r="387" spans="3:4" ht="15.75" customHeight="1" x14ac:dyDescent="0.25">
      <c r="C387" s="2"/>
      <c r="D387" s="2"/>
    </row>
    <row r="388" spans="3:4" ht="15.75" customHeight="1" x14ac:dyDescent="0.25">
      <c r="C388" s="2"/>
      <c r="D388" s="2"/>
    </row>
    <row r="389" spans="3:4" ht="15.75" customHeight="1" x14ac:dyDescent="0.25">
      <c r="C389" s="2"/>
      <c r="D389" s="2"/>
    </row>
    <row r="390" spans="3:4" ht="15.75" customHeight="1" x14ac:dyDescent="0.25">
      <c r="C390" s="2"/>
      <c r="D390" s="2"/>
    </row>
    <row r="391" spans="3:4" ht="15.75" customHeight="1" x14ac:dyDescent="0.25">
      <c r="C391" s="2"/>
      <c r="D391" s="2"/>
    </row>
    <row r="392" spans="3:4" ht="15.75" customHeight="1" x14ac:dyDescent="0.25">
      <c r="C392" s="2"/>
      <c r="D392" s="2"/>
    </row>
    <row r="393" spans="3:4" ht="15.75" customHeight="1" x14ac:dyDescent="0.25">
      <c r="C393" s="2"/>
      <c r="D393" s="2"/>
    </row>
    <row r="394" spans="3:4" ht="15.75" customHeight="1" x14ac:dyDescent="0.25">
      <c r="C394" s="2"/>
      <c r="D394" s="2"/>
    </row>
    <row r="395" spans="3:4" ht="15.75" customHeight="1" x14ac:dyDescent="0.25">
      <c r="C395" s="2"/>
      <c r="D395" s="2"/>
    </row>
    <row r="396" spans="3:4" ht="15.75" customHeight="1" x14ac:dyDescent="0.25">
      <c r="C396" s="2"/>
      <c r="D396" s="2"/>
    </row>
    <row r="397" spans="3:4" ht="15.75" customHeight="1" x14ac:dyDescent="0.25">
      <c r="C397" s="2"/>
      <c r="D397" s="2"/>
    </row>
    <row r="398" spans="3:4" ht="15.75" customHeight="1" x14ac:dyDescent="0.25">
      <c r="C398" s="2"/>
      <c r="D398" s="2"/>
    </row>
    <row r="399" spans="3:4" ht="15.75" customHeight="1" x14ac:dyDescent="0.25">
      <c r="C399" s="2"/>
      <c r="D399" s="2"/>
    </row>
    <row r="400" spans="3:4" ht="15.75" customHeight="1" x14ac:dyDescent="0.25">
      <c r="C400" s="2"/>
      <c r="D400" s="2"/>
    </row>
    <row r="401" spans="3:4" ht="15.75" customHeight="1" x14ac:dyDescent="0.25">
      <c r="C401" s="2"/>
      <c r="D401" s="2"/>
    </row>
    <row r="402" spans="3:4" ht="15.75" customHeight="1" x14ac:dyDescent="0.25">
      <c r="C402" s="2"/>
      <c r="D402" s="2"/>
    </row>
    <row r="403" spans="3:4" ht="15.75" customHeight="1" x14ac:dyDescent="0.25">
      <c r="C403" s="2"/>
      <c r="D403" s="2"/>
    </row>
    <row r="404" spans="3:4" ht="15.75" customHeight="1" x14ac:dyDescent="0.25">
      <c r="C404" s="2"/>
      <c r="D404" s="2"/>
    </row>
    <row r="405" spans="3:4" ht="15.75" customHeight="1" x14ac:dyDescent="0.25">
      <c r="C405" s="2"/>
      <c r="D405" s="2"/>
    </row>
    <row r="406" spans="3:4" ht="15.75" customHeight="1" x14ac:dyDescent="0.25">
      <c r="C406" s="2"/>
      <c r="D406" s="2"/>
    </row>
    <row r="407" spans="3:4" ht="15.75" customHeight="1" x14ac:dyDescent="0.25">
      <c r="C407" s="2"/>
      <c r="D407" s="2"/>
    </row>
    <row r="408" spans="3:4" ht="15.75" customHeight="1" x14ac:dyDescent="0.25">
      <c r="C408" s="2"/>
      <c r="D408" s="2"/>
    </row>
    <row r="409" spans="3:4" ht="15.75" customHeight="1" x14ac:dyDescent="0.25">
      <c r="C409" s="2"/>
      <c r="D409" s="2"/>
    </row>
    <row r="410" spans="3:4" ht="15.75" customHeight="1" x14ac:dyDescent="0.25">
      <c r="C410" s="2"/>
      <c r="D410" s="2"/>
    </row>
    <row r="411" spans="3:4" ht="15.75" customHeight="1" x14ac:dyDescent="0.25">
      <c r="C411" s="2"/>
      <c r="D411" s="2"/>
    </row>
    <row r="412" spans="3:4" ht="15.75" customHeight="1" x14ac:dyDescent="0.25">
      <c r="C412" s="2"/>
      <c r="D412" s="2"/>
    </row>
    <row r="413" spans="3:4" ht="15.75" customHeight="1" x14ac:dyDescent="0.25">
      <c r="C413" s="2"/>
      <c r="D413" s="2"/>
    </row>
    <row r="414" spans="3:4" ht="15.75" customHeight="1" x14ac:dyDescent="0.25">
      <c r="C414" s="2"/>
      <c r="D414" s="2"/>
    </row>
    <row r="415" spans="3:4" ht="15.75" customHeight="1" x14ac:dyDescent="0.25">
      <c r="C415" s="2"/>
      <c r="D415" s="2"/>
    </row>
    <row r="416" spans="3:4" ht="15.75" customHeight="1" x14ac:dyDescent="0.25">
      <c r="C416" s="2"/>
      <c r="D416" s="2"/>
    </row>
    <row r="417" spans="3:4" ht="15.75" customHeight="1" x14ac:dyDescent="0.25">
      <c r="C417" s="2"/>
      <c r="D417" s="2"/>
    </row>
    <row r="418" spans="3:4" ht="15.75" customHeight="1" x14ac:dyDescent="0.25">
      <c r="C418" s="2"/>
      <c r="D418" s="2"/>
    </row>
    <row r="419" spans="3:4" ht="15.75" customHeight="1" x14ac:dyDescent="0.25">
      <c r="C419" s="2"/>
      <c r="D419" s="2"/>
    </row>
    <row r="420" spans="3:4" ht="15.75" customHeight="1" x14ac:dyDescent="0.25">
      <c r="C420" s="2"/>
      <c r="D420" s="2"/>
    </row>
    <row r="421" spans="3:4" ht="15.75" customHeight="1" x14ac:dyDescent="0.25">
      <c r="C421" s="2"/>
      <c r="D421" s="2"/>
    </row>
    <row r="422" spans="3:4" ht="15.75" customHeight="1" x14ac:dyDescent="0.25">
      <c r="C422" s="2"/>
      <c r="D422" s="2"/>
    </row>
    <row r="423" spans="3:4" ht="15.75" customHeight="1" x14ac:dyDescent="0.25">
      <c r="C423" s="2"/>
      <c r="D423" s="2"/>
    </row>
    <row r="424" spans="3:4" ht="15.75" customHeight="1" x14ac:dyDescent="0.25">
      <c r="C424" s="2"/>
      <c r="D424" s="2"/>
    </row>
    <row r="425" spans="3:4" ht="15.75" customHeight="1" x14ac:dyDescent="0.25">
      <c r="C425" s="2"/>
      <c r="D425" s="2"/>
    </row>
    <row r="426" spans="3:4" ht="15.75" customHeight="1" x14ac:dyDescent="0.25">
      <c r="C426" s="2"/>
      <c r="D426" s="2"/>
    </row>
    <row r="427" spans="3:4" ht="15.75" customHeight="1" x14ac:dyDescent="0.25">
      <c r="C427" s="2"/>
      <c r="D427" s="2"/>
    </row>
    <row r="428" spans="3:4" ht="15.75" customHeight="1" x14ac:dyDescent="0.25">
      <c r="C428" s="2"/>
      <c r="D428" s="2"/>
    </row>
    <row r="429" spans="3:4" ht="15.75" customHeight="1" x14ac:dyDescent="0.25">
      <c r="C429" s="2"/>
      <c r="D429" s="2"/>
    </row>
    <row r="430" spans="3:4" ht="15.75" customHeight="1" x14ac:dyDescent="0.25">
      <c r="C430" s="2"/>
      <c r="D430" s="2"/>
    </row>
    <row r="431" spans="3:4" ht="15.75" customHeight="1" x14ac:dyDescent="0.25">
      <c r="C431" s="2"/>
      <c r="D431" s="2"/>
    </row>
    <row r="432" spans="3:4" ht="15.75" customHeight="1" x14ac:dyDescent="0.25">
      <c r="C432" s="2"/>
      <c r="D432" s="2"/>
    </row>
    <row r="433" spans="3:4" ht="15.75" customHeight="1" x14ac:dyDescent="0.25">
      <c r="C433" s="2"/>
      <c r="D433" s="2"/>
    </row>
    <row r="434" spans="3:4" ht="15.75" customHeight="1" x14ac:dyDescent="0.25">
      <c r="C434" s="2"/>
      <c r="D434" s="2"/>
    </row>
    <row r="435" spans="3:4" ht="15.75" customHeight="1" x14ac:dyDescent="0.25">
      <c r="C435" s="2"/>
      <c r="D435" s="2"/>
    </row>
    <row r="436" spans="3:4" ht="15.75" customHeight="1" x14ac:dyDescent="0.25">
      <c r="C436" s="2"/>
      <c r="D436" s="2"/>
    </row>
    <row r="437" spans="3:4" ht="15.75" customHeight="1" x14ac:dyDescent="0.25">
      <c r="C437" s="2"/>
      <c r="D437" s="2"/>
    </row>
    <row r="438" spans="3:4" ht="15.75" customHeight="1" x14ac:dyDescent="0.25">
      <c r="C438" s="2"/>
      <c r="D438" s="2"/>
    </row>
    <row r="439" spans="3:4" ht="15.75" customHeight="1" x14ac:dyDescent="0.25">
      <c r="C439" s="2"/>
      <c r="D439" s="2"/>
    </row>
    <row r="440" spans="3:4" ht="15.75" customHeight="1" x14ac:dyDescent="0.25">
      <c r="C440" s="2"/>
      <c r="D440" s="2"/>
    </row>
    <row r="441" spans="3:4" ht="15.75" customHeight="1" x14ac:dyDescent="0.25">
      <c r="C441" s="2"/>
      <c r="D441" s="2"/>
    </row>
    <row r="442" spans="3:4" ht="15.75" customHeight="1" x14ac:dyDescent="0.25">
      <c r="C442" s="2"/>
      <c r="D442" s="2"/>
    </row>
    <row r="443" spans="3:4" ht="15.75" customHeight="1" x14ac:dyDescent="0.25">
      <c r="C443" s="2"/>
      <c r="D443" s="2"/>
    </row>
    <row r="444" spans="3:4" ht="15.75" customHeight="1" x14ac:dyDescent="0.25">
      <c r="C444" s="2"/>
      <c r="D444" s="2"/>
    </row>
    <row r="445" spans="3:4" ht="15.75" customHeight="1" x14ac:dyDescent="0.25">
      <c r="C445" s="2"/>
      <c r="D445" s="2"/>
    </row>
    <row r="446" spans="3:4" ht="15.75" customHeight="1" x14ac:dyDescent="0.25">
      <c r="C446" s="2"/>
      <c r="D446" s="2"/>
    </row>
    <row r="447" spans="3:4" ht="15.75" customHeight="1" x14ac:dyDescent="0.25">
      <c r="C447" s="2"/>
      <c r="D447" s="2"/>
    </row>
    <row r="448" spans="3:4" ht="15.75" customHeight="1" x14ac:dyDescent="0.25">
      <c r="C448" s="2"/>
      <c r="D448" s="2"/>
    </row>
    <row r="449" spans="3:4" ht="15.75" customHeight="1" x14ac:dyDescent="0.25">
      <c r="C449" s="2"/>
      <c r="D449" s="2"/>
    </row>
    <row r="450" spans="3:4" ht="15.75" customHeight="1" x14ac:dyDescent="0.25">
      <c r="C450" s="2"/>
      <c r="D450" s="2"/>
    </row>
    <row r="451" spans="3:4" ht="15.75" customHeight="1" x14ac:dyDescent="0.25">
      <c r="C451" s="2"/>
      <c r="D451" s="2"/>
    </row>
    <row r="452" spans="3:4" ht="15.75" customHeight="1" x14ac:dyDescent="0.25">
      <c r="C452" s="2"/>
      <c r="D452" s="2"/>
    </row>
    <row r="453" spans="3:4" ht="15.75" customHeight="1" x14ac:dyDescent="0.25">
      <c r="C453" s="2"/>
      <c r="D453" s="2"/>
    </row>
    <row r="454" spans="3:4" ht="15.75" customHeight="1" x14ac:dyDescent="0.25">
      <c r="C454" s="2"/>
      <c r="D454" s="2"/>
    </row>
    <row r="455" spans="3:4" ht="15.75" customHeight="1" x14ac:dyDescent="0.25">
      <c r="C455" s="2"/>
      <c r="D455" s="2"/>
    </row>
    <row r="456" spans="3:4" ht="15.75" customHeight="1" x14ac:dyDescent="0.25">
      <c r="C456" s="2"/>
      <c r="D456" s="2"/>
    </row>
    <row r="457" spans="3:4" ht="15.75" customHeight="1" x14ac:dyDescent="0.25">
      <c r="C457" s="2"/>
      <c r="D457" s="2"/>
    </row>
    <row r="458" spans="3:4" ht="15.75" customHeight="1" x14ac:dyDescent="0.25">
      <c r="C458" s="2"/>
      <c r="D458" s="2"/>
    </row>
    <row r="459" spans="3:4" ht="15.75" customHeight="1" x14ac:dyDescent="0.25">
      <c r="C459" s="2"/>
      <c r="D459" s="2"/>
    </row>
    <row r="460" spans="3:4" ht="15.75" customHeight="1" x14ac:dyDescent="0.25">
      <c r="C460" s="2"/>
      <c r="D460" s="2"/>
    </row>
    <row r="461" spans="3:4" ht="15.75" customHeight="1" x14ac:dyDescent="0.25">
      <c r="C461" s="2"/>
      <c r="D461" s="2"/>
    </row>
    <row r="462" spans="3:4" ht="15.75" customHeight="1" x14ac:dyDescent="0.25">
      <c r="C462" s="2"/>
      <c r="D462" s="2"/>
    </row>
    <row r="463" spans="3:4" ht="15.75" customHeight="1" x14ac:dyDescent="0.25">
      <c r="C463" s="2"/>
      <c r="D463" s="2"/>
    </row>
    <row r="464" spans="3:4" ht="15.75" customHeight="1" x14ac:dyDescent="0.25">
      <c r="C464" s="2"/>
      <c r="D464" s="2"/>
    </row>
    <row r="465" spans="3:4" ht="15.75" customHeight="1" x14ac:dyDescent="0.25">
      <c r="C465" s="2"/>
      <c r="D465" s="2"/>
    </row>
    <row r="466" spans="3:4" ht="15.75" customHeight="1" x14ac:dyDescent="0.25">
      <c r="C466" s="2"/>
      <c r="D466" s="2"/>
    </row>
    <row r="467" spans="3:4" ht="15.75" customHeight="1" x14ac:dyDescent="0.25">
      <c r="C467" s="2"/>
      <c r="D467" s="2"/>
    </row>
    <row r="468" spans="3:4" ht="15.75" customHeight="1" x14ac:dyDescent="0.25">
      <c r="C468" s="2"/>
      <c r="D468" s="2"/>
    </row>
    <row r="469" spans="3:4" ht="15.75" customHeight="1" x14ac:dyDescent="0.25">
      <c r="C469" s="2"/>
      <c r="D469" s="2"/>
    </row>
    <row r="470" spans="3:4" ht="15.75" customHeight="1" x14ac:dyDescent="0.25">
      <c r="C470" s="2"/>
      <c r="D470" s="2"/>
    </row>
    <row r="471" spans="3:4" ht="15.75" customHeight="1" x14ac:dyDescent="0.25">
      <c r="C471" s="2"/>
      <c r="D471" s="2"/>
    </row>
    <row r="472" spans="3:4" ht="15.75" customHeight="1" x14ac:dyDescent="0.25">
      <c r="C472" s="2"/>
      <c r="D472" s="2"/>
    </row>
    <row r="473" spans="3:4" ht="15.75" customHeight="1" x14ac:dyDescent="0.25">
      <c r="C473" s="2"/>
      <c r="D473" s="2"/>
    </row>
    <row r="474" spans="3:4" ht="15.75" customHeight="1" x14ac:dyDescent="0.25">
      <c r="C474" s="2"/>
      <c r="D474" s="2"/>
    </row>
    <row r="475" spans="3:4" ht="15.75" customHeight="1" x14ac:dyDescent="0.25">
      <c r="C475" s="2"/>
      <c r="D475" s="2"/>
    </row>
    <row r="476" spans="3:4" ht="15.75" customHeight="1" x14ac:dyDescent="0.25">
      <c r="C476" s="2"/>
      <c r="D476" s="2"/>
    </row>
    <row r="477" spans="3:4" ht="15.75" customHeight="1" x14ac:dyDescent="0.25">
      <c r="C477" s="2"/>
      <c r="D477" s="2"/>
    </row>
    <row r="478" spans="3:4" ht="15.75" customHeight="1" x14ac:dyDescent="0.25">
      <c r="C478" s="2"/>
      <c r="D478" s="2"/>
    </row>
    <row r="479" spans="3:4" ht="15.75" customHeight="1" x14ac:dyDescent="0.25">
      <c r="C479" s="2"/>
      <c r="D479" s="2"/>
    </row>
    <row r="480" spans="3:4" ht="15.75" customHeight="1" x14ac:dyDescent="0.25">
      <c r="C480" s="2"/>
      <c r="D480" s="2"/>
    </row>
    <row r="481" spans="3:4" ht="15.75" customHeight="1" x14ac:dyDescent="0.25">
      <c r="C481" s="2"/>
      <c r="D481" s="2"/>
    </row>
    <row r="482" spans="3:4" ht="15.75" customHeight="1" x14ac:dyDescent="0.25">
      <c r="C482" s="2"/>
      <c r="D482" s="2"/>
    </row>
    <row r="483" spans="3:4" ht="15.75" customHeight="1" x14ac:dyDescent="0.25">
      <c r="C483" s="2"/>
      <c r="D483" s="2"/>
    </row>
    <row r="484" spans="3:4" ht="15.75" customHeight="1" x14ac:dyDescent="0.25">
      <c r="C484" s="2"/>
      <c r="D484" s="2"/>
    </row>
    <row r="485" spans="3:4" ht="15.75" customHeight="1" x14ac:dyDescent="0.25">
      <c r="C485" s="2"/>
      <c r="D485" s="2"/>
    </row>
    <row r="486" spans="3:4" ht="15.75" customHeight="1" x14ac:dyDescent="0.25">
      <c r="C486" s="2"/>
      <c r="D486" s="2"/>
    </row>
    <row r="487" spans="3:4" ht="15.75" customHeight="1" x14ac:dyDescent="0.25">
      <c r="C487" s="2"/>
      <c r="D487" s="2"/>
    </row>
    <row r="488" spans="3:4" ht="15.75" customHeight="1" x14ac:dyDescent="0.25">
      <c r="C488" s="2"/>
      <c r="D488" s="2"/>
    </row>
    <row r="489" spans="3:4" ht="15.75" customHeight="1" x14ac:dyDescent="0.25">
      <c r="C489" s="2"/>
      <c r="D489" s="2"/>
    </row>
    <row r="490" spans="3:4" ht="15.75" customHeight="1" x14ac:dyDescent="0.25">
      <c r="C490" s="2"/>
      <c r="D490" s="2"/>
    </row>
    <row r="491" spans="3:4" ht="15.75" customHeight="1" x14ac:dyDescent="0.25">
      <c r="C491" s="2"/>
      <c r="D491" s="2"/>
    </row>
    <row r="492" spans="3:4" ht="15.75" customHeight="1" x14ac:dyDescent="0.25">
      <c r="C492" s="2"/>
      <c r="D492" s="2"/>
    </row>
    <row r="493" spans="3:4" ht="15.75" customHeight="1" x14ac:dyDescent="0.25">
      <c r="C493" s="2"/>
      <c r="D493" s="2"/>
    </row>
    <row r="494" spans="3:4" ht="15.75" customHeight="1" x14ac:dyDescent="0.25">
      <c r="C494" s="2"/>
      <c r="D494" s="2"/>
    </row>
    <row r="495" spans="3:4" ht="15.75" customHeight="1" x14ac:dyDescent="0.25">
      <c r="C495" s="2"/>
      <c r="D495" s="2"/>
    </row>
    <row r="496" spans="3:4" ht="15.75" customHeight="1" x14ac:dyDescent="0.25">
      <c r="C496" s="2"/>
      <c r="D496" s="2"/>
    </row>
    <row r="497" spans="3:4" ht="15.75" customHeight="1" x14ac:dyDescent="0.25">
      <c r="C497" s="2"/>
      <c r="D497" s="2"/>
    </row>
    <row r="498" spans="3:4" ht="15.75" customHeight="1" x14ac:dyDescent="0.25">
      <c r="C498" s="2"/>
      <c r="D498" s="2"/>
    </row>
    <row r="499" spans="3:4" ht="15.75" customHeight="1" x14ac:dyDescent="0.25">
      <c r="C499" s="2"/>
      <c r="D499" s="2"/>
    </row>
    <row r="500" spans="3:4" ht="15.75" customHeight="1" x14ac:dyDescent="0.25">
      <c r="C500" s="2"/>
      <c r="D500" s="2"/>
    </row>
    <row r="501" spans="3:4" ht="15.75" customHeight="1" x14ac:dyDescent="0.25">
      <c r="C501" s="2"/>
      <c r="D501" s="2"/>
    </row>
    <row r="502" spans="3:4" ht="15.75" customHeight="1" x14ac:dyDescent="0.25">
      <c r="C502" s="2"/>
      <c r="D502" s="2"/>
    </row>
    <row r="503" spans="3:4" ht="15.75" customHeight="1" x14ac:dyDescent="0.25">
      <c r="C503" s="2"/>
      <c r="D503" s="2"/>
    </row>
    <row r="504" spans="3:4" ht="15.75" customHeight="1" x14ac:dyDescent="0.25">
      <c r="C504" s="2"/>
      <c r="D504" s="2"/>
    </row>
    <row r="505" spans="3:4" ht="15.75" customHeight="1" x14ac:dyDescent="0.25">
      <c r="C505" s="2"/>
      <c r="D505" s="2"/>
    </row>
    <row r="506" spans="3:4" ht="15.75" customHeight="1" x14ac:dyDescent="0.25">
      <c r="C506" s="2"/>
      <c r="D506" s="2"/>
    </row>
    <row r="507" spans="3:4" ht="15.75" customHeight="1" x14ac:dyDescent="0.25">
      <c r="C507" s="2"/>
      <c r="D507" s="2"/>
    </row>
    <row r="508" spans="3:4" ht="15.75" customHeight="1" x14ac:dyDescent="0.25">
      <c r="C508" s="2"/>
      <c r="D508" s="2"/>
    </row>
    <row r="509" spans="3:4" ht="15.75" customHeight="1" x14ac:dyDescent="0.25">
      <c r="C509" s="2"/>
      <c r="D509" s="2"/>
    </row>
    <row r="510" spans="3:4" ht="15.75" customHeight="1" x14ac:dyDescent="0.25">
      <c r="C510" s="2"/>
      <c r="D510" s="2"/>
    </row>
    <row r="511" spans="3:4" ht="15.75" customHeight="1" x14ac:dyDescent="0.25">
      <c r="C511" s="2"/>
      <c r="D511" s="2"/>
    </row>
    <row r="512" spans="3:4" ht="15.75" customHeight="1" x14ac:dyDescent="0.25">
      <c r="C512" s="2"/>
      <c r="D512" s="2"/>
    </row>
    <row r="513" spans="3:4" ht="15.75" customHeight="1" x14ac:dyDescent="0.25">
      <c r="C513" s="2"/>
      <c r="D513" s="2"/>
    </row>
    <row r="514" spans="3:4" ht="15.75" customHeight="1" x14ac:dyDescent="0.25">
      <c r="C514" s="2"/>
      <c r="D514" s="2"/>
    </row>
    <row r="515" spans="3:4" ht="15.75" customHeight="1" x14ac:dyDescent="0.25">
      <c r="C515" s="2"/>
      <c r="D515" s="2"/>
    </row>
    <row r="516" spans="3:4" ht="15.75" customHeight="1" x14ac:dyDescent="0.25">
      <c r="C516" s="2"/>
      <c r="D516" s="2"/>
    </row>
    <row r="517" spans="3:4" ht="15.75" customHeight="1" x14ac:dyDescent="0.25">
      <c r="C517" s="2"/>
      <c r="D517" s="2"/>
    </row>
    <row r="518" spans="3:4" ht="15.75" customHeight="1" x14ac:dyDescent="0.25">
      <c r="C518" s="2"/>
      <c r="D518" s="2"/>
    </row>
    <row r="519" spans="3:4" ht="15.75" customHeight="1" x14ac:dyDescent="0.25">
      <c r="C519" s="2"/>
      <c r="D519" s="2"/>
    </row>
    <row r="520" spans="3:4" ht="15.75" customHeight="1" x14ac:dyDescent="0.25">
      <c r="C520" s="2"/>
      <c r="D520" s="2"/>
    </row>
    <row r="521" spans="3:4" ht="15.75" customHeight="1" x14ac:dyDescent="0.25">
      <c r="C521" s="2"/>
      <c r="D521" s="2"/>
    </row>
    <row r="522" spans="3:4" ht="15.75" customHeight="1" x14ac:dyDescent="0.25">
      <c r="C522" s="2"/>
      <c r="D522" s="2"/>
    </row>
    <row r="523" spans="3:4" ht="15.75" customHeight="1" x14ac:dyDescent="0.25">
      <c r="C523" s="2"/>
      <c r="D523" s="2"/>
    </row>
    <row r="524" spans="3:4" ht="15.75" customHeight="1" x14ac:dyDescent="0.25">
      <c r="C524" s="2"/>
      <c r="D524" s="2"/>
    </row>
    <row r="525" spans="3:4" ht="15.75" customHeight="1" x14ac:dyDescent="0.25">
      <c r="C525" s="2"/>
      <c r="D525" s="2"/>
    </row>
    <row r="526" spans="3:4" ht="15.75" customHeight="1" x14ac:dyDescent="0.25">
      <c r="C526" s="2"/>
      <c r="D526" s="2"/>
    </row>
    <row r="527" spans="3:4" ht="15.75" customHeight="1" x14ac:dyDescent="0.25">
      <c r="C527" s="2"/>
      <c r="D527" s="2"/>
    </row>
    <row r="528" spans="3:4" ht="15.75" customHeight="1" x14ac:dyDescent="0.25">
      <c r="C528" s="2"/>
      <c r="D528" s="2"/>
    </row>
    <row r="529" spans="3:4" ht="15.75" customHeight="1" x14ac:dyDescent="0.25">
      <c r="C529" s="2"/>
      <c r="D529" s="2"/>
    </row>
    <row r="530" spans="3:4" ht="15.75" customHeight="1" x14ac:dyDescent="0.25">
      <c r="C530" s="2"/>
      <c r="D530" s="2"/>
    </row>
    <row r="531" spans="3:4" ht="15.75" customHeight="1" x14ac:dyDescent="0.25">
      <c r="C531" s="2"/>
      <c r="D531" s="2"/>
    </row>
    <row r="532" spans="3:4" ht="15.75" customHeight="1" x14ac:dyDescent="0.25">
      <c r="C532" s="2"/>
      <c r="D532" s="2"/>
    </row>
    <row r="533" spans="3:4" ht="15.75" customHeight="1" x14ac:dyDescent="0.25">
      <c r="C533" s="2"/>
      <c r="D533" s="2"/>
    </row>
    <row r="534" spans="3:4" ht="15.75" customHeight="1" x14ac:dyDescent="0.25">
      <c r="C534" s="2"/>
      <c r="D534" s="2"/>
    </row>
    <row r="535" spans="3:4" ht="15.75" customHeight="1" x14ac:dyDescent="0.25">
      <c r="C535" s="2"/>
      <c r="D535" s="2"/>
    </row>
    <row r="536" spans="3:4" ht="15.75" customHeight="1" x14ac:dyDescent="0.25">
      <c r="C536" s="2"/>
      <c r="D536" s="2"/>
    </row>
    <row r="537" spans="3:4" ht="15.75" customHeight="1" x14ac:dyDescent="0.25">
      <c r="C537" s="2"/>
      <c r="D537" s="2"/>
    </row>
    <row r="538" spans="3:4" ht="15.75" customHeight="1" x14ac:dyDescent="0.25">
      <c r="C538" s="2"/>
      <c r="D538" s="2"/>
    </row>
    <row r="539" spans="3:4" ht="15.75" customHeight="1" x14ac:dyDescent="0.25">
      <c r="C539" s="2"/>
      <c r="D539" s="2"/>
    </row>
    <row r="540" spans="3:4" ht="15.75" customHeight="1" x14ac:dyDescent="0.25">
      <c r="C540" s="2"/>
      <c r="D540" s="2"/>
    </row>
    <row r="541" spans="3:4" ht="15.75" customHeight="1" x14ac:dyDescent="0.25">
      <c r="C541" s="2"/>
      <c r="D541" s="2"/>
    </row>
    <row r="542" spans="3:4" ht="15.75" customHeight="1" x14ac:dyDescent="0.25">
      <c r="C542" s="2"/>
      <c r="D542" s="2"/>
    </row>
    <row r="543" spans="3:4" ht="15.75" customHeight="1" x14ac:dyDescent="0.25">
      <c r="C543" s="2"/>
      <c r="D543" s="2"/>
    </row>
    <row r="544" spans="3:4" ht="15.75" customHeight="1" x14ac:dyDescent="0.25">
      <c r="C544" s="2"/>
      <c r="D544" s="2"/>
    </row>
    <row r="545" spans="3:4" ht="15.75" customHeight="1" x14ac:dyDescent="0.25">
      <c r="C545" s="2"/>
      <c r="D545" s="2"/>
    </row>
    <row r="546" spans="3:4" ht="15.75" customHeight="1" x14ac:dyDescent="0.25">
      <c r="C546" s="2"/>
      <c r="D546" s="2"/>
    </row>
    <row r="547" spans="3:4" ht="15.75" customHeight="1" x14ac:dyDescent="0.25">
      <c r="C547" s="2"/>
      <c r="D547" s="2"/>
    </row>
    <row r="548" spans="3:4" ht="15.75" customHeight="1" x14ac:dyDescent="0.25">
      <c r="C548" s="2"/>
      <c r="D548" s="2"/>
    </row>
    <row r="549" spans="3:4" ht="15.75" customHeight="1" x14ac:dyDescent="0.25">
      <c r="C549" s="2"/>
      <c r="D549" s="2"/>
    </row>
    <row r="550" spans="3:4" ht="15.75" customHeight="1" x14ac:dyDescent="0.25">
      <c r="C550" s="2"/>
      <c r="D550" s="2"/>
    </row>
    <row r="551" spans="3:4" ht="15.75" customHeight="1" x14ac:dyDescent="0.25">
      <c r="C551" s="2"/>
      <c r="D551" s="2"/>
    </row>
    <row r="552" spans="3:4" ht="15.75" customHeight="1" x14ac:dyDescent="0.25">
      <c r="C552" s="2"/>
      <c r="D552" s="2"/>
    </row>
    <row r="553" spans="3:4" ht="15.75" customHeight="1" x14ac:dyDescent="0.25">
      <c r="C553" s="2"/>
      <c r="D553" s="2"/>
    </row>
    <row r="554" spans="3:4" ht="15.75" customHeight="1" x14ac:dyDescent="0.25">
      <c r="C554" s="2"/>
      <c r="D554" s="2"/>
    </row>
    <row r="555" spans="3:4" ht="15.75" customHeight="1" x14ac:dyDescent="0.25">
      <c r="C555" s="2"/>
      <c r="D555" s="2"/>
    </row>
    <row r="556" spans="3:4" ht="15.75" customHeight="1" x14ac:dyDescent="0.25">
      <c r="C556" s="2"/>
      <c r="D556" s="2"/>
    </row>
    <row r="557" spans="3:4" ht="15.75" customHeight="1" x14ac:dyDescent="0.25">
      <c r="C557" s="2"/>
      <c r="D557" s="2"/>
    </row>
    <row r="558" spans="3:4" ht="15.75" customHeight="1" x14ac:dyDescent="0.25">
      <c r="C558" s="2"/>
      <c r="D558" s="2"/>
    </row>
    <row r="559" spans="3:4" ht="15.75" customHeight="1" x14ac:dyDescent="0.25">
      <c r="C559" s="2"/>
      <c r="D559" s="2"/>
    </row>
    <row r="560" spans="3:4" ht="15.75" customHeight="1" x14ac:dyDescent="0.25">
      <c r="C560" s="2"/>
      <c r="D560" s="2"/>
    </row>
    <row r="561" spans="3:4" ht="15.75" customHeight="1" x14ac:dyDescent="0.25">
      <c r="C561" s="2"/>
      <c r="D561" s="2"/>
    </row>
    <row r="562" spans="3:4" ht="15.75" customHeight="1" x14ac:dyDescent="0.25">
      <c r="C562" s="2"/>
      <c r="D562" s="2"/>
    </row>
    <row r="563" spans="3:4" ht="15.75" customHeight="1" x14ac:dyDescent="0.25">
      <c r="C563" s="2"/>
      <c r="D563" s="2"/>
    </row>
    <row r="564" spans="3:4" ht="15.75" customHeight="1" x14ac:dyDescent="0.25">
      <c r="C564" s="2"/>
      <c r="D564" s="2"/>
    </row>
    <row r="565" spans="3:4" ht="15.75" customHeight="1" x14ac:dyDescent="0.25">
      <c r="C565" s="2"/>
      <c r="D565" s="2"/>
    </row>
    <row r="566" spans="3:4" ht="15.75" customHeight="1" x14ac:dyDescent="0.25">
      <c r="C566" s="2"/>
      <c r="D566" s="2"/>
    </row>
    <row r="567" spans="3:4" ht="15.75" customHeight="1" x14ac:dyDescent="0.25">
      <c r="C567" s="2"/>
      <c r="D567" s="2"/>
    </row>
    <row r="568" spans="3:4" ht="15.75" customHeight="1" x14ac:dyDescent="0.25">
      <c r="C568" s="2"/>
      <c r="D568" s="2"/>
    </row>
    <row r="569" spans="3:4" ht="15.75" customHeight="1" x14ac:dyDescent="0.25">
      <c r="C569" s="2"/>
      <c r="D569" s="2"/>
    </row>
    <row r="570" spans="3:4" ht="15.75" customHeight="1" x14ac:dyDescent="0.25">
      <c r="C570" s="2"/>
      <c r="D570" s="2"/>
    </row>
    <row r="571" spans="3:4" ht="15.75" customHeight="1" x14ac:dyDescent="0.25">
      <c r="C571" s="2"/>
      <c r="D571" s="2"/>
    </row>
    <row r="572" spans="3:4" ht="15.75" customHeight="1" x14ac:dyDescent="0.25">
      <c r="C572" s="2"/>
      <c r="D572" s="2"/>
    </row>
    <row r="573" spans="3:4" ht="15.75" customHeight="1" x14ac:dyDescent="0.25">
      <c r="C573" s="2"/>
      <c r="D573" s="2"/>
    </row>
    <row r="574" spans="3:4" ht="15.75" customHeight="1" x14ac:dyDescent="0.25">
      <c r="C574" s="2"/>
      <c r="D574" s="2"/>
    </row>
    <row r="575" spans="3:4" ht="15.75" customHeight="1" x14ac:dyDescent="0.25">
      <c r="C575" s="2"/>
      <c r="D575" s="2"/>
    </row>
    <row r="576" spans="3:4" ht="15.75" customHeight="1" x14ac:dyDescent="0.25">
      <c r="C576" s="2"/>
      <c r="D576" s="2"/>
    </row>
    <row r="577" spans="3:4" ht="15.75" customHeight="1" x14ac:dyDescent="0.25">
      <c r="C577" s="2"/>
      <c r="D577" s="2"/>
    </row>
    <row r="578" spans="3:4" ht="15.75" customHeight="1" x14ac:dyDescent="0.25">
      <c r="C578" s="2"/>
      <c r="D578" s="2"/>
    </row>
    <row r="579" spans="3:4" ht="15.75" customHeight="1" x14ac:dyDescent="0.25">
      <c r="C579" s="2"/>
      <c r="D579" s="2"/>
    </row>
    <row r="580" spans="3:4" ht="15.75" customHeight="1" x14ac:dyDescent="0.25">
      <c r="C580" s="2"/>
      <c r="D580" s="2"/>
    </row>
    <row r="581" spans="3:4" ht="15.75" customHeight="1" x14ac:dyDescent="0.25">
      <c r="C581" s="2"/>
      <c r="D581" s="2"/>
    </row>
    <row r="582" spans="3:4" ht="15.75" customHeight="1" x14ac:dyDescent="0.25">
      <c r="C582" s="2"/>
      <c r="D582" s="2"/>
    </row>
    <row r="583" spans="3:4" ht="15.75" customHeight="1" x14ac:dyDescent="0.25">
      <c r="C583" s="2"/>
      <c r="D583" s="2"/>
    </row>
    <row r="584" spans="3:4" ht="15.75" customHeight="1" x14ac:dyDescent="0.25">
      <c r="C584" s="2"/>
      <c r="D584" s="2"/>
    </row>
    <row r="585" spans="3:4" ht="15.75" customHeight="1" x14ac:dyDescent="0.25">
      <c r="C585" s="2"/>
      <c r="D585" s="2"/>
    </row>
    <row r="586" spans="3:4" ht="15.75" customHeight="1" x14ac:dyDescent="0.25">
      <c r="C586" s="2"/>
      <c r="D586" s="2"/>
    </row>
    <row r="587" spans="3:4" ht="15.75" customHeight="1" x14ac:dyDescent="0.25">
      <c r="C587" s="2"/>
      <c r="D587" s="2"/>
    </row>
    <row r="588" spans="3:4" ht="15.75" customHeight="1" x14ac:dyDescent="0.25">
      <c r="C588" s="2"/>
      <c r="D588" s="2"/>
    </row>
    <row r="589" spans="3:4" ht="15.75" customHeight="1" x14ac:dyDescent="0.25">
      <c r="C589" s="2"/>
      <c r="D589" s="2"/>
    </row>
    <row r="590" spans="3:4" ht="15.75" customHeight="1" x14ac:dyDescent="0.25">
      <c r="C590" s="2"/>
      <c r="D590" s="2"/>
    </row>
    <row r="591" spans="3:4" ht="15.75" customHeight="1" x14ac:dyDescent="0.25">
      <c r="C591" s="2"/>
      <c r="D591" s="2"/>
    </row>
    <row r="592" spans="3:4" ht="15.75" customHeight="1" x14ac:dyDescent="0.25">
      <c r="C592" s="2"/>
      <c r="D592" s="2"/>
    </row>
    <row r="593" spans="3:4" ht="15.75" customHeight="1" x14ac:dyDescent="0.25">
      <c r="C593" s="2"/>
      <c r="D593" s="2"/>
    </row>
    <row r="594" spans="3:4" ht="15.75" customHeight="1" x14ac:dyDescent="0.25">
      <c r="C594" s="2"/>
      <c r="D594" s="2"/>
    </row>
    <row r="595" spans="3:4" ht="15.75" customHeight="1" x14ac:dyDescent="0.25">
      <c r="C595" s="2"/>
      <c r="D595" s="2"/>
    </row>
    <row r="596" spans="3:4" ht="15.75" customHeight="1" x14ac:dyDescent="0.25">
      <c r="C596" s="2"/>
      <c r="D596" s="2"/>
    </row>
    <row r="597" spans="3:4" ht="15.75" customHeight="1" x14ac:dyDescent="0.25">
      <c r="C597" s="2"/>
      <c r="D597" s="2"/>
    </row>
    <row r="598" spans="3:4" ht="15.75" customHeight="1" x14ac:dyDescent="0.25">
      <c r="C598" s="2"/>
      <c r="D598" s="2"/>
    </row>
    <row r="599" spans="3:4" ht="15.75" customHeight="1" x14ac:dyDescent="0.25">
      <c r="C599" s="2"/>
      <c r="D599" s="2"/>
    </row>
    <row r="600" spans="3:4" ht="15.75" customHeight="1" x14ac:dyDescent="0.25">
      <c r="C600" s="2"/>
      <c r="D600" s="2"/>
    </row>
    <row r="601" spans="3:4" ht="15.75" customHeight="1" x14ac:dyDescent="0.25">
      <c r="C601" s="2"/>
      <c r="D601" s="2"/>
    </row>
    <row r="602" spans="3:4" ht="15.75" customHeight="1" x14ac:dyDescent="0.25">
      <c r="C602" s="2"/>
      <c r="D602" s="2"/>
    </row>
    <row r="603" spans="3:4" ht="15.75" customHeight="1" x14ac:dyDescent="0.25">
      <c r="C603" s="2"/>
      <c r="D603" s="2"/>
    </row>
    <row r="604" spans="3:4" ht="15.75" customHeight="1" x14ac:dyDescent="0.25">
      <c r="C604" s="2"/>
      <c r="D604" s="2"/>
    </row>
    <row r="605" spans="3:4" ht="15.75" customHeight="1" x14ac:dyDescent="0.25">
      <c r="C605" s="2"/>
      <c r="D605" s="2"/>
    </row>
    <row r="606" spans="3:4" ht="15.75" customHeight="1" x14ac:dyDescent="0.25">
      <c r="C606" s="2"/>
      <c r="D606" s="2"/>
    </row>
    <row r="607" spans="3:4" ht="15.75" customHeight="1" x14ac:dyDescent="0.25">
      <c r="C607" s="2"/>
      <c r="D607" s="2"/>
    </row>
    <row r="608" spans="3:4" ht="15.75" customHeight="1" x14ac:dyDescent="0.25">
      <c r="C608" s="2"/>
      <c r="D608" s="2"/>
    </row>
    <row r="609" spans="3:4" ht="15.75" customHeight="1" x14ac:dyDescent="0.25">
      <c r="C609" s="2"/>
      <c r="D609" s="2"/>
    </row>
    <row r="610" spans="3:4" ht="15.75" customHeight="1" x14ac:dyDescent="0.25">
      <c r="C610" s="2"/>
      <c r="D610" s="2"/>
    </row>
    <row r="611" spans="3:4" ht="15.75" customHeight="1" x14ac:dyDescent="0.25">
      <c r="C611" s="2"/>
      <c r="D611" s="2"/>
    </row>
    <row r="612" spans="3:4" ht="15.75" customHeight="1" x14ac:dyDescent="0.25">
      <c r="C612" s="2"/>
      <c r="D612" s="2"/>
    </row>
    <row r="613" spans="3:4" ht="15.75" customHeight="1" x14ac:dyDescent="0.25">
      <c r="C613" s="2"/>
      <c r="D613" s="2"/>
    </row>
    <row r="614" spans="3:4" ht="15.75" customHeight="1" x14ac:dyDescent="0.25">
      <c r="C614" s="2"/>
      <c r="D614" s="2"/>
    </row>
    <row r="615" spans="3:4" ht="15.75" customHeight="1" x14ac:dyDescent="0.25">
      <c r="C615" s="2"/>
      <c r="D615" s="2"/>
    </row>
    <row r="616" spans="3:4" ht="15.75" customHeight="1" x14ac:dyDescent="0.25">
      <c r="C616" s="2"/>
      <c r="D616" s="2"/>
    </row>
    <row r="617" spans="3:4" ht="15.75" customHeight="1" x14ac:dyDescent="0.25">
      <c r="C617" s="2"/>
      <c r="D617" s="2"/>
    </row>
    <row r="618" spans="3:4" ht="15.75" customHeight="1" x14ac:dyDescent="0.25">
      <c r="C618" s="2"/>
      <c r="D618" s="2"/>
    </row>
    <row r="619" spans="3:4" ht="15.75" customHeight="1" x14ac:dyDescent="0.25">
      <c r="C619" s="2"/>
      <c r="D619" s="2"/>
    </row>
    <row r="620" spans="3:4" ht="15.75" customHeight="1" x14ac:dyDescent="0.25">
      <c r="C620" s="2"/>
      <c r="D620" s="2"/>
    </row>
    <row r="621" spans="3:4" ht="15.75" customHeight="1" x14ac:dyDescent="0.25">
      <c r="C621" s="2"/>
      <c r="D621" s="2"/>
    </row>
    <row r="622" spans="3:4" ht="15.75" customHeight="1" x14ac:dyDescent="0.25">
      <c r="C622" s="2"/>
      <c r="D622" s="2"/>
    </row>
    <row r="623" spans="3:4" ht="15.75" customHeight="1" x14ac:dyDescent="0.25">
      <c r="C623" s="2"/>
      <c r="D623" s="2"/>
    </row>
    <row r="624" spans="3:4" ht="15.75" customHeight="1" x14ac:dyDescent="0.25">
      <c r="C624" s="2"/>
      <c r="D624" s="2"/>
    </row>
    <row r="625" spans="3:4" ht="15.75" customHeight="1" x14ac:dyDescent="0.25">
      <c r="C625" s="2"/>
      <c r="D625" s="2"/>
    </row>
    <row r="626" spans="3:4" ht="15.75" customHeight="1" x14ac:dyDescent="0.25">
      <c r="C626" s="2"/>
      <c r="D626" s="2"/>
    </row>
    <row r="627" spans="3:4" ht="15.75" customHeight="1" x14ac:dyDescent="0.25">
      <c r="C627" s="2"/>
      <c r="D627" s="2"/>
    </row>
    <row r="628" spans="3:4" ht="15.75" customHeight="1" x14ac:dyDescent="0.25">
      <c r="C628" s="2"/>
      <c r="D628" s="2"/>
    </row>
    <row r="629" spans="3:4" ht="15.75" customHeight="1" x14ac:dyDescent="0.25">
      <c r="C629" s="2"/>
      <c r="D629" s="2"/>
    </row>
    <row r="630" spans="3:4" ht="15.75" customHeight="1" x14ac:dyDescent="0.25">
      <c r="C630" s="2"/>
      <c r="D630" s="2"/>
    </row>
    <row r="631" spans="3:4" ht="15.75" customHeight="1" x14ac:dyDescent="0.25">
      <c r="C631" s="2"/>
      <c r="D631" s="2"/>
    </row>
    <row r="632" spans="3:4" ht="15.75" customHeight="1" x14ac:dyDescent="0.25">
      <c r="C632" s="2"/>
      <c r="D632" s="2"/>
    </row>
    <row r="633" spans="3:4" ht="15.75" customHeight="1" x14ac:dyDescent="0.25">
      <c r="C633" s="2"/>
      <c r="D633" s="2"/>
    </row>
    <row r="634" spans="3:4" ht="15.75" customHeight="1" x14ac:dyDescent="0.25">
      <c r="C634" s="2"/>
      <c r="D634" s="2"/>
    </row>
    <row r="635" spans="3:4" ht="15.75" customHeight="1" x14ac:dyDescent="0.25">
      <c r="C635" s="2"/>
      <c r="D635" s="2"/>
    </row>
    <row r="636" spans="3:4" ht="15.75" customHeight="1" x14ac:dyDescent="0.25">
      <c r="C636" s="2"/>
      <c r="D636" s="2"/>
    </row>
    <row r="637" spans="3:4" ht="15.75" customHeight="1" x14ac:dyDescent="0.25">
      <c r="C637" s="2"/>
      <c r="D637" s="2"/>
    </row>
    <row r="638" spans="3:4" ht="15.75" customHeight="1" x14ac:dyDescent="0.25">
      <c r="C638" s="2"/>
      <c r="D638" s="2"/>
    </row>
    <row r="639" spans="3:4" ht="15.75" customHeight="1" x14ac:dyDescent="0.25">
      <c r="C639" s="2"/>
      <c r="D639" s="2"/>
    </row>
    <row r="640" spans="3:4" ht="15.75" customHeight="1" x14ac:dyDescent="0.25">
      <c r="C640" s="2"/>
      <c r="D640" s="2"/>
    </row>
    <row r="641" spans="3:4" ht="15.75" customHeight="1" x14ac:dyDescent="0.25">
      <c r="C641" s="2"/>
      <c r="D641" s="2"/>
    </row>
    <row r="642" spans="3:4" ht="15.75" customHeight="1" x14ac:dyDescent="0.25">
      <c r="C642" s="2"/>
      <c r="D642" s="2"/>
    </row>
    <row r="643" spans="3:4" ht="15.75" customHeight="1" x14ac:dyDescent="0.25">
      <c r="C643" s="2"/>
      <c r="D643" s="2"/>
    </row>
    <row r="644" spans="3:4" ht="15.75" customHeight="1" x14ac:dyDescent="0.25">
      <c r="C644" s="2"/>
      <c r="D644" s="2"/>
    </row>
    <row r="645" spans="3:4" ht="15.75" customHeight="1" x14ac:dyDescent="0.25">
      <c r="C645" s="2"/>
      <c r="D645" s="2"/>
    </row>
    <row r="646" spans="3:4" ht="15.75" customHeight="1" x14ac:dyDescent="0.25">
      <c r="C646" s="2"/>
      <c r="D646" s="2"/>
    </row>
    <row r="647" spans="3:4" ht="15.75" customHeight="1" x14ac:dyDescent="0.25">
      <c r="C647" s="2"/>
      <c r="D647" s="2"/>
    </row>
    <row r="648" spans="3:4" ht="15.75" customHeight="1" x14ac:dyDescent="0.25">
      <c r="C648" s="2"/>
      <c r="D648" s="2"/>
    </row>
    <row r="649" spans="3:4" ht="15.75" customHeight="1" x14ac:dyDescent="0.25">
      <c r="C649" s="2"/>
      <c r="D649" s="2"/>
    </row>
    <row r="650" spans="3:4" ht="15.75" customHeight="1" x14ac:dyDescent="0.25">
      <c r="C650" s="2"/>
      <c r="D650" s="2"/>
    </row>
    <row r="651" spans="3:4" ht="15.75" customHeight="1" x14ac:dyDescent="0.25">
      <c r="C651" s="2"/>
      <c r="D651" s="2"/>
    </row>
    <row r="652" spans="3:4" ht="15.75" customHeight="1" x14ac:dyDescent="0.25">
      <c r="C652" s="2"/>
      <c r="D652" s="2"/>
    </row>
    <row r="653" spans="3:4" ht="15.75" customHeight="1" x14ac:dyDescent="0.25">
      <c r="C653" s="2"/>
      <c r="D653" s="2"/>
    </row>
    <row r="654" spans="3:4" ht="15.75" customHeight="1" x14ac:dyDescent="0.25">
      <c r="C654" s="2"/>
      <c r="D654" s="2"/>
    </row>
    <row r="655" spans="3:4" ht="15.75" customHeight="1" x14ac:dyDescent="0.25">
      <c r="C655" s="2"/>
      <c r="D655" s="2"/>
    </row>
    <row r="656" spans="3:4" ht="15.75" customHeight="1" x14ac:dyDescent="0.25">
      <c r="C656" s="2"/>
      <c r="D656" s="2"/>
    </row>
    <row r="657" spans="3:4" ht="15.75" customHeight="1" x14ac:dyDescent="0.25">
      <c r="C657" s="2"/>
      <c r="D657" s="2"/>
    </row>
    <row r="658" spans="3:4" ht="15.75" customHeight="1" x14ac:dyDescent="0.25">
      <c r="C658" s="2"/>
      <c r="D658" s="2"/>
    </row>
    <row r="659" spans="3:4" ht="15.75" customHeight="1" x14ac:dyDescent="0.25">
      <c r="C659" s="2"/>
      <c r="D659" s="2"/>
    </row>
    <row r="660" spans="3:4" ht="15.75" customHeight="1" x14ac:dyDescent="0.25">
      <c r="C660" s="2"/>
      <c r="D660" s="2"/>
    </row>
    <row r="661" spans="3:4" ht="15.75" customHeight="1" x14ac:dyDescent="0.25">
      <c r="C661" s="2"/>
      <c r="D661" s="2"/>
    </row>
    <row r="662" spans="3:4" ht="15.75" customHeight="1" x14ac:dyDescent="0.25">
      <c r="C662" s="2"/>
      <c r="D662" s="2"/>
    </row>
    <row r="663" spans="3:4" ht="15.75" customHeight="1" x14ac:dyDescent="0.25">
      <c r="C663" s="2"/>
      <c r="D663" s="2"/>
    </row>
    <row r="664" spans="3:4" ht="15.75" customHeight="1" x14ac:dyDescent="0.25">
      <c r="C664" s="2"/>
      <c r="D664" s="2"/>
    </row>
    <row r="665" spans="3:4" ht="15.75" customHeight="1" x14ac:dyDescent="0.25">
      <c r="C665" s="2"/>
      <c r="D665" s="2"/>
    </row>
    <row r="666" spans="3:4" ht="15.75" customHeight="1" x14ac:dyDescent="0.25">
      <c r="C666" s="2"/>
      <c r="D666" s="2"/>
    </row>
    <row r="667" spans="3:4" ht="15.75" customHeight="1" x14ac:dyDescent="0.25">
      <c r="C667" s="2"/>
      <c r="D667" s="2"/>
    </row>
    <row r="668" spans="3:4" ht="15.75" customHeight="1" x14ac:dyDescent="0.25">
      <c r="C668" s="2"/>
      <c r="D668" s="2"/>
    </row>
    <row r="669" spans="3:4" ht="15.75" customHeight="1" x14ac:dyDescent="0.25">
      <c r="C669" s="2"/>
      <c r="D669" s="2"/>
    </row>
    <row r="670" spans="3:4" ht="15.75" customHeight="1" x14ac:dyDescent="0.25">
      <c r="C670" s="2"/>
      <c r="D670" s="2"/>
    </row>
    <row r="671" spans="3:4" ht="15.75" customHeight="1" x14ac:dyDescent="0.25">
      <c r="C671" s="2"/>
      <c r="D671" s="2"/>
    </row>
    <row r="672" spans="3:4" ht="15.75" customHeight="1" x14ac:dyDescent="0.25">
      <c r="C672" s="2"/>
      <c r="D672" s="2"/>
    </row>
    <row r="673" spans="3:4" ht="15.75" customHeight="1" x14ac:dyDescent="0.25">
      <c r="C673" s="2"/>
      <c r="D673" s="2"/>
    </row>
    <row r="674" spans="3:4" ht="15.75" customHeight="1" x14ac:dyDescent="0.25">
      <c r="C674" s="2"/>
      <c r="D674" s="2"/>
    </row>
    <row r="675" spans="3:4" ht="15.75" customHeight="1" x14ac:dyDescent="0.25">
      <c r="C675" s="2"/>
      <c r="D675" s="2"/>
    </row>
    <row r="676" spans="3:4" ht="15.75" customHeight="1" x14ac:dyDescent="0.25">
      <c r="C676" s="2"/>
      <c r="D676" s="2"/>
    </row>
    <row r="677" spans="3:4" ht="15.75" customHeight="1" x14ac:dyDescent="0.25">
      <c r="C677" s="2"/>
      <c r="D677" s="2"/>
    </row>
    <row r="678" spans="3:4" ht="15.75" customHeight="1" x14ac:dyDescent="0.25">
      <c r="C678" s="2"/>
      <c r="D678" s="2"/>
    </row>
    <row r="679" spans="3:4" ht="15.75" customHeight="1" x14ac:dyDescent="0.25">
      <c r="C679" s="2"/>
      <c r="D679" s="2"/>
    </row>
    <row r="680" spans="3:4" ht="15.75" customHeight="1" x14ac:dyDescent="0.25">
      <c r="C680" s="2"/>
      <c r="D680" s="2"/>
    </row>
    <row r="681" spans="3:4" ht="15.75" customHeight="1" x14ac:dyDescent="0.25">
      <c r="C681" s="2"/>
      <c r="D681" s="2"/>
    </row>
    <row r="682" spans="3:4" ht="15.75" customHeight="1" x14ac:dyDescent="0.25">
      <c r="C682" s="2"/>
      <c r="D682" s="2"/>
    </row>
    <row r="683" spans="3:4" ht="15.75" customHeight="1" x14ac:dyDescent="0.25">
      <c r="C683" s="2"/>
      <c r="D683" s="2"/>
    </row>
    <row r="684" spans="3:4" ht="15.75" customHeight="1" x14ac:dyDescent="0.25">
      <c r="C684" s="2"/>
      <c r="D684" s="2"/>
    </row>
    <row r="685" spans="3:4" ht="15.75" customHeight="1" x14ac:dyDescent="0.25">
      <c r="C685" s="2"/>
      <c r="D685" s="2"/>
    </row>
    <row r="686" spans="3:4" ht="15.75" customHeight="1" x14ac:dyDescent="0.25">
      <c r="C686" s="2"/>
      <c r="D686" s="2"/>
    </row>
    <row r="687" spans="3:4" ht="15.75" customHeight="1" x14ac:dyDescent="0.25">
      <c r="C687" s="2"/>
      <c r="D687" s="2"/>
    </row>
    <row r="688" spans="3:4" ht="15.75" customHeight="1" x14ac:dyDescent="0.25">
      <c r="C688" s="2"/>
      <c r="D688" s="2"/>
    </row>
    <row r="689" spans="3:4" ht="15.75" customHeight="1" x14ac:dyDescent="0.25">
      <c r="C689" s="2"/>
      <c r="D689" s="2"/>
    </row>
    <row r="690" spans="3:4" ht="15.75" customHeight="1" x14ac:dyDescent="0.25">
      <c r="C690" s="2"/>
      <c r="D690" s="2"/>
    </row>
    <row r="691" spans="3:4" ht="15.75" customHeight="1" x14ac:dyDescent="0.25">
      <c r="C691" s="2"/>
      <c r="D691" s="2"/>
    </row>
    <row r="692" spans="3:4" ht="15.75" customHeight="1" x14ac:dyDescent="0.25">
      <c r="C692" s="2"/>
      <c r="D692" s="2"/>
    </row>
    <row r="693" spans="3:4" ht="15.75" customHeight="1" x14ac:dyDescent="0.25">
      <c r="C693" s="2"/>
      <c r="D693" s="2"/>
    </row>
    <row r="694" spans="3:4" ht="15.75" customHeight="1" x14ac:dyDescent="0.25">
      <c r="C694" s="2"/>
      <c r="D694" s="2"/>
    </row>
    <row r="695" spans="3:4" ht="15.75" customHeight="1" x14ac:dyDescent="0.25">
      <c r="C695" s="2"/>
      <c r="D695" s="2"/>
    </row>
    <row r="696" spans="3:4" ht="15.75" customHeight="1" x14ac:dyDescent="0.25">
      <c r="C696" s="2"/>
      <c r="D696" s="2"/>
    </row>
    <row r="697" spans="3:4" ht="15.75" customHeight="1" x14ac:dyDescent="0.25">
      <c r="C697" s="2"/>
      <c r="D697" s="2"/>
    </row>
    <row r="698" spans="3:4" ht="15.75" customHeight="1" x14ac:dyDescent="0.25">
      <c r="C698" s="2"/>
      <c r="D698" s="2"/>
    </row>
    <row r="699" spans="3:4" ht="15.75" customHeight="1" x14ac:dyDescent="0.25">
      <c r="C699" s="2"/>
      <c r="D699" s="2"/>
    </row>
    <row r="700" spans="3:4" ht="15.75" customHeight="1" x14ac:dyDescent="0.25">
      <c r="C700" s="2"/>
      <c r="D700" s="2"/>
    </row>
    <row r="701" spans="3:4" ht="15.75" customHeight="1" x14ac:dyDescent="0.25">
      <c r="C701" s="2"/>
      <c r="D701" s="2"/>
    </row>
    <row r="702" spans="3:4" ht="15.75" customHeight="1" x14ac:dyDescent="0.25">
      <c r="C702" s="2"/>
      <c r="D702" s="2"/>
    </row>
    <row r="703" spans="3:4" ht="15.75" customHeight="1" x14ac:dyDescent="0.25">
      <c r="C703" s="2"/>
      <c r="D703" s="2"/>
    </row>
    <row r="704" spans="3:4" ht="15.75" customHeight="1" x14ac:dyDescent="0.25">
      <c r="C704" s="2"/>
      <c r="D704" s="2"/>
    </row>
    <row r="705" spans="3:4" ht="15.75" customHeight="1" x14ac:dyDescent="0.25">
      <c r="C705" s="2"/>
      <c r="D705" s="2"/>
    </row>
    <row r="706" spans="3:4" ht="15.75" customHeight="1" x14ac:dyDescent="0.25">
      <c r="C706" s="2"/>
      <c r="D706" s="2"/>
    </row>
    <row r="707" spans="3:4" ht="15.75" customHeight="1" x14ac:dyDescent="0.25">
      <c r="C707" s="2"/>
      <c r="D707" s="2"/>
    </row>
    <row r="708" spans="3:4" ht="15.75" customHeight="1" x14ac:dyDescent="0.25">
      <c r="C708" s="2"/>
      <c r="D708" s="2"/>
    </row>
    <row r="709" spans="3:4" ht="15.75" customHeight="1" x14ac:dyDescent="0.25">
      <c r="C709" s="2"/>
      <c r="D709" s="2"/>
    </row>
    <row r="710" spans="3:4" ht="15.75" customHeight="1" x14ac:dyDescent="0.25">
      <c r="C710" s="2"/>
      <c r="D710" s="2"/>
    </row>
    <row r="711" spans="3:4" ht="15.75" customHeight="1" x14ac:dyDescent="0.25">
      <c r="C711" s="2"/>
      <c r="D711" s="2"/>
    </row>
    <row r="712" spans="3:4" ht="15.75" customHeight="1" x14ac:dyDescent="0.25">
      <c r="C712" s="2"/>
      <c r="D712" s="2"/>
    </row>
    <row r="713" spans="3:4" ht="15.75" customHeight="1" x14ac:dyDescent="0.25">
      <c r="C713" s="2"/>
      <c r="D713" s="2"/>
    </row>
    <row r="714" spans="3:4" ht="15.75" customHeight="1" x14ac:dyDescent="0.25">
      <c r="C714" s="2"/>
      <c r="D714" s="2"/>
    </row>
    <row r="715" spans="3:4" ht="15.75" customHeight="1" x14ac:dyDescent="0.25">
      <c r="C715" s="2"/>
      <c r="D715" s="2"/>
    </row>
    <row r="716" spans="3:4" ht="15.75" customHeight="1" x14ac:dyDescent="0.25">
      <c r="C716" s="2"/>
      <c r="D716" s="2"/>
    </row>
    <row r="717" spans="3:4" ht="15.75" customHeight="1" x14ac:dyDescent="0.25">
      <c r="C717" s="2"/>
      <c r="D717" s="2"/>
    </row>
    <row r="718" spans="3:4" ht="15.75" customHeight="1" x14ac:dyDescent="0.25">
      <c r="C718" s="2"/>
      <c r="D718" s="2"/>
    </row>
    <row r="719" spans="3:4" ht="15.75" customHeight="1" x14ac:dyDescent="0.25">
      <c r="C719" s="2"/>
      <c r="D719" s="2"/>
    </row>
    <row r="720" spans="3:4" ht="15.75" customHeight="1" x14ac:dyDescent="0.25">
      <c r="C720" s="2"/>
      <c r="D720" s="2"/>
    </row>
    <row r="721" spans="3:4" ht="15.75" customHeight="1" x14ac:dyDescent="0.25">
      <c r="C721" s="2"/>
      <c r="D721" s="2"/>
    </row>
    <row r="722" spans="3:4" ht="15.75" customHeight="1" x14ac:dyDescent="0.25">
      <c r="C722" s="2"/>
      <c r="D722" s="2"/>
    </row>
    <row r="723" spans="3:4" ht="15.75" customHeight="1" x14ac:dyDescent="0.25">
      <c r="C723" s="2"/>
      <c r="D723" s="2"/>
    </row>
    <row r="724" spans="3:4" ht="15.75" customHeight="1" x14ac:dyDescent="0.25">
      <c r="C724" s="2"/>
      <c r="D724" s="2"/>
    </row>
    <row r="725" spans="3:4" ht="15.75" customHeight="1" x14ac:dyDescent="0.25">
      <c r="C725" s="2"/>
      <c r="D725" s="2"/>
    </row>
    <row r="726" spans="3:4" ht="15.75" customHeight="1" x14ac:dyDescent="0.25">
      <c r="C726" s="2"/>
      <c r="D726" s="2"/>
    </row>
    <row r="727" spans="3:4" ht="15.75" customHeight="1" x14ac:dyDescent="0.25">
      <c r="C727" s="2"/>
      <c r="D727" s="2"/>
    </row>
    <row r="728" spans="3:4" ht="15.75" customHeight="1" x14ac:dyDescent="0.25">
      <c r="C728" s="2"/>
      <c r="D728" s="2"/>
    </row>
    <row r="729" spans="3:4" ht="15.75" customHeight="1" x14ac:dyDescent="0.25">
      <c r="C729" s="2"/>
      <c r="D729" s="2"/>
    </row>
    <row r="730" spans="3:4" ht="15.75" customHeight="1" x14ac:dyDescent="0.25">
      <c r="C730" s="2"/>
      <c r="D730" s="2"/>
    </row>
    <row r="731" spans="3:4" ht="15.75" customHeight="1" x14ac:dyDescent="0.25">
      <c r="C731" s="2"/>
      <c r="D731" s="2"/>
    </row>
    <row r="732" spans="3:4" ht="15.75" customHeight="1" x14ac:dyDescent="0.25">
      <c r="C732" s="2"/>
      <c r="D732" s="2"/>
    </row>
    <row r="733" spans="3:4" ht="15.75" customHeight="1" x14ac:dyDescent="0.25">
      <c r="C733" s="2"/>
      <c r="D733" s="2"/>
    </row>
    <row r="734" spans="3:4" ht="15.75" customHeight="1" x14ac:dyDescent="0.25">
      <c r="C734" s="2"/>
      <c r="D734" s="2"/>
    </row>
    <row r="735" spans="3:4" ht="15.75" customHeight="1" x14ac:dyDescent="0.25">
      <c r="C735" s="2"/>
      <c r="D735" s="2"/>
    </row>
    <row r="736" spans="3:4" ht="15.75" customHeight="1" x14ac:dyDescent="0.25">
      <c r="C736" s="2"/>
      <c r="D736" s="2"/>
    </row>
    <row r="737" spans="3:4" ht="15.75" customHeight="1" x14ac:dyDescent="0.25">
      <c r="C737" s="2"/>
      <c r="D737" s="2"/>
    </row>
    <row r="738" spans="3:4" ht="15.75" customHeight="1" x14ac:dyDescent="0.25">
      <c r="C738" s="2"/>
      <c r="D738" s="2"/>
    </row>
    <row r="739" spans="3:4" ht="15.75" customHeight="1" x14ac:dyDescent="0.25">
      <c r="C739" s="2"/>
      <c r="D739" s="2"/>
    </row>
    <row r="740" spans="3:4" ht="15.75" customHeight="1" x14ac:dyDescent="0.25">
      <c r="C740" s="2"/>
      <c r="D740" s="2"/>
    </row>
    <row r="741" spans="3:4" ht="15.75" customHeight="1" x14ac:dyDescent="0.25">
      <c r="C741" s="2"/>
      <c r="D741" s="2"/>
    </row>
    <row r="742" spans="3:4" ht="15.75" customHeight="1" x14ac:dyDescent="0.25">
      <c r="C742" s="2"/>
      <c r="D742" s="2"/>
    </row>
    <row r="743" spans="3:4" ht="15.75" customHeight="1" x14ac:dyDescent="0.25">
      <c r="C743" s="2"/>
      <c r="D743" s="2"/>
    </row>
    <row r="744" spans="3:4" ht="15.75" customHeight="1" x14ac:dyDescent="0.25">
      <c r="C744" s="2"/>
      <c r="D744" s="2"/>
    </row>
    <row r="745" spans="3:4" ht="15.75" customHeight="1" x14ac:dyDescent="0.25">
      <c r="C745" s="2"/>
      <c r="D745" s="2"/>
    </row>
    <row r="746" spans="3:4" ht="15.75" customHeight="1" x14ac:dyDescent="0.25">
      <c r="C746" s="2"/>
      <c r="D746" s="2"/>
    </row>
    <row r="747" spans="3:4" ht="15.75" customHeight="1" x14ac:dyDescent="0.25">
      <c r="C747" s="2"/>
      <c r="D747" s="2"/>
    </row>
    <row r="748" spans="3:4" ht="15.75" customHeight="1" x14ac:dyDescent="0.25">
      <c r="C748" s="2"/>
      <c r="D748" s="2"/>
    </row>
    <row r="749" spans="3:4" ht="15.75" customHeight="1" x14ac:dyDescent="0.25">
      <c r="C749" s="2"/>
      <c r="D749" s="2"/>
    </row>
    <row r="750" spans="3:4" ht="15.75" customHeight="1" x14ac:dyDescent="0.25">
      <c r="C750" s="2"/>
      <c r="D750" s="2"/>
    </row>
    <row r="751" spans="3:4" ht="15.75" customHeight="1" x14ac:dyDescent="0.25">
      <c r="C751" s="2"/>
      <c r="D751" s="2"/>
    </row>
    <row r="752" spans="3:4" ht="15.75" customHeight="1" x14ac:dyDescent="0.25">
      <c r="C752" s="2"/>
      <c r="D752" s="2"/>
    </row>
    <row r="753" spans="3:4" ht="15.75" customHeight="1" x14ac:dyDescent="0.25">
      <c r="C753" s="2"/>
      <c r="D753" s="2"/>
    </row>
    <row r="754" spans="3:4" ht="15.75" customHeight="1" x14ac:dyDescent="0.25">
      <c r="C754" s="2"/>
      <c r="D754" s="2"/>
    </row>
    <row r="755" spans="3:4" ht="15.75" customHeight="1" x14ac:dyDescent="0.25">
      <c r="C755" s="2"/>
      <c r="D755" s="2"/>
    </row>
    <row r="756" spans="3:4" ht="15.75" customHeight="1" x14ac:dyDescent="0.25">
      <c r="C756" s="2"/>
      <c r="D756" s="2"/>
    </row>
    <row r="757" spans="3:4" ht="15.75" customHeight="1" x14ac:dyDescent="0.25">
      <c r="C757" s="2"/>
      <c r="D757" s="2"/>
    </row>
    <row r="758" spans="3:4" ht="15.75" customHeight="1" x14ac:dyDescent="0.25">
      <c r="C758" s="2"/>
      <c r="D758" s="2"/>
    </row>
    <row r="759" spans="3:4" ht="15.75" customHeight="1" x14ac:dyDescent="0.25">
      <c r="C759" s="2"/>
      <c r="D759" s="2"/>
    </row>
    <row r="760" spans="3:4" ht="15.75" customHeight="1" x14ac:dyDescent="0.25">
      <c r="C760" s="2"/>
      <c r="D760" s="2"/>
    </row>
    <row r="761" spans="3:4" ht="15.75" customHeight="1" x14ac:dyDescent="0.25">
      <c r="C761" s="2"/>
      <c r="D761" s="2"/>
    </row>
    <row r="762" spans="3:4" ht="15.75" customHeight="1" x14ac:dyDescent="0.25">
      <c r="C762" s="2"/>
      <c r="D762" s="2"/>
    </row>
    <row r="763" spans="3:4" ht="15.75" customHeight="1" x14ac:dyDescent="0.25">
      <c r="C763" s="2"/>
      <c r="D763" s="2"/>
    </row>
    <row r="764" spans="3:4" ht="15.75" customHeight="1" x14ac:dyDescent="0.25">
      <c r="C764" s="2"/>
      <c r="D764" s="2"/>
    </row>
    <row r="765" spans="3:4" ht="15.75" customHeight="1" x14ac:dyDescent="0.25">
      <c r="C765" s="2"/>
      <c r="D765" s="2"/>
    </row>
    <row r="766" spans="3:4" ht="15.75" customHeight="1" x14ac:dyDescent="0.25">
      <c r="C766" s="2"/>
      <c r="D766" s="2"/>
    </row>
    <row r="767" spans="3:4" ht="15.75" customHeight="1" x14ac:dyDescent="0.25">
      <c r="C767" s="2"/>
      <c r="D767" s="2"/>
    </row>
    <row r="768" spans="3:4" ht="15.75" customHeight="1" x14ac:dyDescent="0.25">
      <c r="C768" s="2"/>
      <c r="D768" s="2"/>
    </row>
    <row r="769" spans="3:4" ht="15.75" customHeight="1" x14ac:dyDescent="0.25">
      <c r="C769" s="2"/>
      <c r="D769" s="2"/>
    </row>
    <row r="770" spans="3:4" ht="15.75" customHeight="1" x14ac:dyDescent="0.25">
      <c r="C770" s="2"/>
      <c r="D770" s="2"/>
    </row>
    <row r="771" spans="3:4" ht="15.75" customHeight="1" x14ac:dyDescent="0.25">
      <c r="C771" s="2"/>
      <c r="D771" s="2"/>
    </row>
    <row r="772" spans="3:4" ht="15.75" customHeight="1" x14ac:dyDescent="0.25">
      <c r="C772" s="2"/>
      <c r="D772" s="2"/>
    </row>
    <row r="773" spans="3:4" ht="15.75" customHeight="1" x14ac:dyDescent="0.25">
      <c r="C773" s="2"/>
      <c r="D773" s="2"/>
    </row>
    <row r="774" spans="3:4" ht="15.75" customHeight="1" x14ac:dyDescent="0.25">
      <c r="C774" s="2"/>
      <c r="D774" s="2"/>
    </row>
    <row r="775" spans="3:4" ht="15.75" customHeight="1" x14ac:dyDescent="0.25">
      <c r="C775" s="2"/>
      <c r="D775" s="2"/>
    </row>
    <row r="776" spans="3:4" ht="15.75" customHeight="1" x14ac:dyDescent="0.25">
      <c r="C776" s="2"/>
      <c r="D776" s="2"/>
    </row>
    <row r="777" spans="3:4" ht="15.75" customHeight="1" x14ac:dyDescent="0.25">
      <c r="C777" s="2"/>
      <c r="D777" s="2"/>
    </row>
    <row r="778" spans="3:4" ht="15.75" customHeight="1" x14ac:dyDescent="0.25">
      <c r="C778" s="2"/>
      <c r="D778" s="2"/>
    </row>
    <row r="779" spans="3:4" ht="15.75" customHeight="1" x14ac:dyDescent="0.25">
      <c r="C779" s="2"/>
      <c r="D779" s="2"/>
    </row>
    <row r="780" spans="3:4" ht="15.75" customHeight="1" x14ac:dyDescent="0.25">
      <c r="C780" s="2"/>
      <c r="D780" s="2"/>
    </row>
    <row r="781" spans="3:4" ht="15.75" customHeight="1" x14ac:dyDescent="0.25">
      <c r="C781" s="2"/>
      <c r="D781" s="2"/>
    </row>
    <row r="782" spans="3:4" ht="15.75" customHeight="1" x14ac:dyDescent="0.25">
      <c r="C782" s="2"/>
      <c r="D782" s="2"/>
    </row>
    <row r="783" spans="3:4" ht="15.75" customHeight="1" x14ac:dyDescent="0.25">
      <c r="C783" s="2"/>
      <c r="D783" s="2"/>
    </row>
    <row r="784" spans="3:4" ht="15.75" customHeight="1" x14ac:dyDescent="0.25">
      <c r="C784" s="2"/>
      <c r="D784" s="2"/>
    </row>
    <row r="785" spans="3:4" ht="15.75" customHeight="1" x14ac:dyDescent="0.25">
      <c r="C785" s="2"/>
      <c r="D785" s="2"/>
    </row>
    <row r="786" spans="3:4" ht="15.75" customHeight="1" x14ac:dyDescent="0.25">
      <c r="C786" s="2"/>
      <c r="D786" s="2"/>
    </row>
    <row r="787" spans="3:4" ht="15.75" customHeight="1" x14ac:dyDescent="0.25">
      <c r="C787" s="2"/>
      <c r="D787" s="2"/>
    </row>
    <row r="788" spans="3:4" ht="15.75" customHeight="1" x14ac:dyDescent="0.25">
      <c r="C788" s="2"/>
      <c r="D788" s="2"/>
    </row>
    <row r="789" spans="3:4" ht="15.75" customHeight="1" x14ac:dyDescent="0.25">
      <c r="C789" s="2"/>
      <c r="D789" s="2"/>
    </row>
    <row r="790" spans="3:4" ht="15.75" customHeight="1" x14ac:dyDescent="0.25">
      <c r="C790" s="2"/>
      <c r="D790" s="2"/>
    </row>
    <row r="791" spans="3:4" ht="15.75" customHeight="1" x14ac:dyDescent="0.25">
      <c r="C791" s="2"/>
      <c r="D791" s="2"/>
    </row>
    <row r="792" spans="3:4" ht="15.75" customHeight="1" x14ac:dyDescent="0.25">
      <c r="C792" s="2"/>
      <c r="D792" s="2"/>
    </row>
    <row r="793" spans="3:4" ht="15.75" customHeight="1" x14ac:dyDescent="0.25">
      <c r="C793" s="2"/>
      <c r="D793" s="2"/>
    </row>
    <row r="794" spans="3:4" ht="15.75" customHeight="1" x14ac:dyDescent="0.25">
      <c r="C794" s="2"/>
      <c r="D794" s="2"/>
    </row>
    <row r="795" spans="3:4" ht="15.75" customHeight="1" x14ac:dyDescent="0.25">
      <c r="C795" s="2"/>
      <c r="D795" s="2"/>
    </row>
    <row r="796" spans="3:4" ht="15.75" customHeight="1" x14ac:dyDescent="0.25">
      <c r="C796" s="2"/>
      <c r="D796" s="2"/>
    </row>
    <row r="797" spans="3:4" ht="15.75" customHeight="1" x14ac:dyDescent="0.25">
      <c r="C797" s="2"/>
      <c r="D797" s="2"/>
    </row>
    <row r="798" spans="3:4" ht="15.75" customHeight="1" x14ac:dyDescent="0.25">
      <c r="C798" s="2"/>
      <c r="D798" s="2"/>
    </row>
    <row r="799" spans="3:4" ht="15.75" customHeight="1" x14ac:dyDescent="0.25">
      <c r="C799" s="2"/>
      <c r="D799" s="2"/>
    </row>
    <row r="800" spans="3:4" ht="15.75" customHeight="1" x14ac:dyDescent="0.25">
      <c r="C800" s="2"/>
      <c r="D800" s="2"/>
    </row>
    <row r="801" spans="3:4" ht="15.75" customHeight="1" x14ac:dyDescent="0.25">
      <c r="C801" s="2"/>
      <c r="D801" s="2"/>
    </row>
    <row r="802" spans="3:4" ht="15.75" customHeight="1" x14ac:dyDescent="0.25">
      <c r="C802" s="2"/>
      <c r="D802" s="2"/>
    </row>
    <row r="803" spans="3:4" ht="15.75" customHeight="1" x14ac:dyDescent="0.25">
      <c r="C803" s="2"/>
      <c r="D803" s="2"/>
    </row>
    <row r="804" spans="3:4" ht="15.75" customHeight="1" x14ac:dyDescent="0.25">
      <c r="C804" s="2"/>
      <c r="D804" s="2"/>
    </row>
    <row r="805" spans="3:4" ht="15.75" customHeight="1" x14ac:dyDescent="0.25">
      <c r="C805" s="2"/>
      <c r="D805" s="2"/>
    </row>
    <row r="806" spans="3:4" ht="15.75" customHeight="1" x14ac:dyDescent="0.25">
      <c r="C806" s="2"/>
      <c r="D806" s="2"/>
    </row>
    <row r="807" spans="3:4" ht="15.75" customHeight="1" x14ac:dyDescent="0.25">
      <c r="C807" s="2"/>
      <c r="D807" s="2"/>
    </row>
    <row r="808" spans="3:4" ht="15.75" customHeight="1" x14ac:dyDescent="0.25">
      <c r="C808" s="2"/>
      <c r="D808" s="2"/>
    </row>
    <row r="809" spans="3:4" ht="15.75" customHeight="1" x14ac:dyDescent="0.25">
      <c r="C809" s="2"/>
      <c r="D809" s="2"/>
    </row>
    <row r="810" spans="3:4" ht="15.75" customHeight="1" x14ac:dyDescent="0.25">
      <c r="C810" s="2"/>
      <c r="D810" s="2"/>
    </row>
    <row r="811" spans="3:4" ht="15.75" customHeight="1" x14ac:dyDescent="0.25">
      <c r="C811" s="2"/>
      <c r="D811" s="2"/>
    </row>
    <row r="812" spans="3:4" ht="15.75" customHeight="1" x14ac:dyDescent="0.25">
      <c r="C812" s="2"/>
      <c r="D812" s="2"/>
    </row>
    <row r="813" spans="3:4" ht="15.75" customHeight="1" x14ac:dyDescent="0.25">
      <c r="C813" s="2"/>
      <c r="D813" s="2"/>
    </row>
    <row r="814" spans="3:4" ht="15.75" customHeight="1" x14ac:dyDescent="0.25">
      <c r="C814" s="2"/>
      <c r="D814" s="2"/>
    </row>
    <row r="815" spans="3:4" ht="15.75" customHeight="1" x14ac:dyDescent="0.25">
      <c r="C815" s="2"/>
      <c r="D815" s="2"/>
    </row>
    <row r="816" spans="3:4" ht="15.75" customHeight="1" x14ac:dyDescent="0.25">
      <c r="C816" s="2"/>
      <c r="D816" s="2"/>
    </row>
    <row r="817" spans="3:4" ht="15.75" customHeight="1" x14ac:dyDescent="0.25">
      <c r="C817" s="2"/>
      <c r="D817" s="2"/>
    </row>
    <row r="818" spans="3:4" ht="15.75" customHeight="1" x14ac:dyDescent="0.25">
      <c r="C818" s="2"/>
      <c r="D818" s="2"/>
    </row>
    <row r="819" spans="3:4" ht="15.75" customHeight="1" x14ac:dyDescent="0.25">
      <c r="C819" s="2"/>
      <c r="D819" s="2"/>
    </row>
    <row r="820" spans="3:4" ht="15.75" customHeight="1" x14ac:dyDescent="0.25">
      <c r="C820" s="2"/>
      <c r="D820" s="2"/>
    </row>
    <row r="821" spans="3:4" ht="15.75" customHeight="1" x14ac:dyDescent="0.25">
      <c r="C821" s="2"/>
      <c r="D821" s="2"/>
    </row>
    <row r="822" spans="3:4" ht="15.75" customHeight="1" x14ac:dyDescent="0.25">
      <c r="C822" s="2"/>
      <c r="D822" s="2"/>
    </row>
    <row r="823" spans="3:4" ht="15.75" customHeight="1" x14ac:dyDescent="0.25">
      <c r="C823" s="2"/>
      <c r="D823" s="2"/>
    </row>
    <row r="824" spans="3:4" ht="15.75" customHeight="1" x14ac:dyDescent="0.25">
      <c r="C824" s="2"/>
      <c r="D824" s="2"/>
    </row>
    <row r="825" spans="3:4" ht="15.75" customHeight="1" x14ac:dyDescent="0.25">
      <c r="C825" s="2"/>
      <c r="D825" s="2"/>
    </row>
    <row r="826" spans="3:4" ht="15.75" customHeight="1" x14ac:dyDescent="0.25">
      <c r="C826" s="2"/>
      <c r="D826" s="2"/>
    </row>
    <row r="827" spans="3:4" ht="15.75" customHeight="1" x14ac:dyDescent="0.25">
      <c r="C827" s="2"/>
      <c r="D827" s="2"/>
    </row>
    <row r="828" spans="3:4" ht="15.75" customHeight="1" x14ac:dyDescent="0.25">
      <c r="C828" s="2"/>
      <c r="D828" s="2"/>
    </row>
    <row r="829" spans="3:4" ht="15.75" customHeight="1" x14ac:dyDescent="0.25">
      <c r="C829" s="2"/>
      <c r="D829" s="2"/>
    </row>
    <row r="830" spans="3:4" ht="15.75" customHeight="1" x14ac:dyDescent="0.25">
      <c r="C830" s="2"/>
      <c r="D830" s="2"/>
    </row>
    <row r="831" spans="3:4" ht="15.75" customHeight="1" x14ac:dyDescent="0.25">
      <c r="C831" s="2"/>
      <c r="D831" s="2"/>
    </row>
    <row r="832" spans="3:4" ht="15.75" customHeight="1" x14ac:dyDescent="0.25">
      <c r="C832" s="2"/>
      <c r="D832" s="2"/>
    </row>
    <row r="833" spans="3:4" ht="15.75" customHeight="1" x14ac:dyDescent="0.25">
      <c r="C833" s="2"/>
      <c r="D833" s="2"/>
    </row>
    <row r="834" spans="3:4" ht="15.75" customHeight="1" x14ac:dyDescent="0.25">
      <c r="C834" s="2"/>
      <c r="D834" s="2"/>
    </row>
    <row r="835" spans="3:4" ht="15.75" customHeight="1" x14ac:dyDescent="0.25">
      <c r="C835" s="2"/>
      <c r="D835" s="2"/>
    </row>
    <row r="836" spans="3:4" ht="15.75" customHeight="1" x14ac:dyDescent="0.25">
      <c r="C836" s="2"/>
      <c r="D836" s="2"/>
    </row>
    <row r="837" spans="3:4" ht="15.75" customHeight="1" x14ac:dyDescent="0.25">
      <c r="C837" s="2"/>
      <c r="D837" s="2"/>
    </row>
    <row r="838" spans="3:4" ht="15.75" customHeight="1" x14ac:dyDescent="0.25">
      <c r="C838" s="2"/>
      <c r="D838" s="2"/>
    </row>
    <row r="839" spans="3:4" ht="15.75" customHeight="1" x14ac:dyDescent="0.25">
      <c r="C839" s="2"/>
      <c r="D839" s="2"/>
    </row>
    <row r="840" spans="3:4" ht="15.75" customHeight="1" x14ac:dyDescent="0.25">
      <c r="C840" s="2"/>
      <c r="D840" s="2"/>
    </row>
    <row r="841" spans="3:4" ht="15.75" customHeight="1" x14ac:dyDescent="0.25">
      <c r="C841" s="2"/>
      <c r="D841" s="2"/>
    </row>
    <row r="842" spans="3:4" ht="15.75" customHeight="1" x14ac:dyDescent="0.25">
      <c r="C842" s="2"/>
      <c r="D842" s="2"/>
    </row>
    <row r="843" spans="3:4" ht="15.75" customHeight="1" x14ac:dyDescent="0.25">
      <c r="C843" s="2"/>
      <c r="D843" s="2"/>
    </row>
    <row r="844" spans="3:4" ht="15.75" customHeight="1" x14ac:dyDescent="0.25">
      <c r="C844" s="2"/>
      <c r="D844" s="2"/>
    </row>
    <row r="845" spans="3:4" ht="15.75" customHeight="1" x14ac:dyDescent="0.25">
      <c r="C845" s="2"/>
      <c r="D845" s="2"/>
    </row>
    <row r="846" spans="3:4" ht="15.75" customHeight="1" x14ac:dyDescent="0.25">
      <c r="C846" s="2"/>
      <c r="D846" s="2"/>
    </row>
    <row r="847" spans="3:4" ht="15.75" customHeight="1" x14ac:dyDescent="0.25">
      <c r="C847" s="2"/>
      <c r="D847" s="2"/>
    </row>
    <row r="848" spans="3:4" ht="15.75" customHeight="1" x14ac:dyDescent="0.25">
      <c r="C848" s="2"/>
      <c r="D848" s="2"/>
    </row>
    <row r="849" spans="3:4" ht="15.75" customHeight="1" x14ac:dyDescent="0.25">
      <c r="C849" s="2"/>
      <c r="D849" s="2"/>
    </row>
    <row r="850" spans="3:4" ht="15.75" customHeight="1" x14ac:dyDescent="0.25">
      <c r="C850" s="2"/>
      <c r="D850" s="2"/>
    </row>
    <row r="851" spans="3:4" ht="15.75" customHeight="1" x14ac:dyDescent="0.25">
      <c r="C851" s="2"/>
      <c r="D851" s="2"/>
    </row>
    <row r="852" spans="3:4" ht="15.75" customHeight="1" x14ac:dyDescent="0.25">
      <c r="C852" s="2"/>
      <c r="D852" s="2"/>
    </row>
    <row r="853" spans="3:4" ht="15.75" customHeight="1" x14ac:dyDescent="0.25">
      <c r="C853" s="2"/>
      <c r="D853" s="2"/>
    </row>
    <row r="854" spans="3:4" ht="15.75" customHeight="1" x14ac:dyDescent="0.25">
      <c r="C854" s="2"/>
      <c r="D854" s="2"/>
    </row>
    <row r="855" spans="3:4" ht="15.75" customHeight="1" x14ac:dyDescent="0.25">
      <c r="C855" s="2"/>
      <c r="D855" s="2"/>
    </row>
    <row r="856" spans="3:4" ht="15.75" customHeight="1" x14ac:dyDescent="0.25">
      <c r="C856" s="2"/>
      <c r="D856" s="2"/>
    </row>
    <row r="857" spans="3:4" ht="15.75" customHeight="1" x14ac:dyDescent="0.25">
      <c r="C857" s="2"/>
      <c r="D857" s="2"/>
    </row>
    <row r="858" spans="3:4" ht="15.75" customHeight="1" x14ac:dyDescent="0.25">
      <c r="C858" s="2"/>
      <c r="D858" s="2"/>
    </row>
    <row r="859" spans="3:4" ht="15.75" customHeight="1" x14ac:dyDescent="0.25">
      <c r="C859" s="2"/>
      <c r="D859" s="2"/>
    </row>
    <row r="860" spans="3:4" ht="15.75" customHeight="1" x14ac:dyDescent="0.25">
      <c r="C860" s="2"/>
      <c r="D860" s="2"/>
    </row>
    <row r="861" spans="3:4" ht="15.75" customHeight="1" x14ac:dyDescent="0.25">
      <c r="C861" s="2"/>
      <c r="D861" s="2"/>
    </row>
    <row r="862" spans="3:4" ht="15.75" customHeight="1" x14ac:dyDescent="0.25">
      <c r="C862" s="2"/>
      <c r="D862" s="2"/>
    </row>
    <row r="863" spans="3:4" ht="15.75" customHeight="1" x14ac:dyDescent="0.25">
      <c r="C863" s="2"/>
      <c r="D863" s="2"/>
    </row>
    <row r="864" spans="3:4" ht="15.75" customHeight="1" x14ac:dyDescent="0.25">
      <c r="C864" s="2"/>
      <c r="D864" s="2"/>
    </row>
    <row r="865" spans="3:4" ht="15.75" customHeight="1" x14ac:dyDescent="0.25">
      <c r="C865" s="2"/>
      <c r="D865" s="2"/>
    </row>
    <row r="866" spans="3:4" ht="15.75" customHeight="1" x14ac:dyDescent="0.25">
      <c r="C866" s="2"/>
      <c r="D866" s="2"/>
    </row>
    <row r="867" spans="3:4" ht="15.75" customHeight="1" x14ac:dyDescent="0.25">
      <c r="C867" s="2"/>
      <c r="D867" s="2"/>
    </row>
    <row r="868" spans="3:4" ht="15.75" customHeight="1" x14ac:dyDescent="0.25">
      <c r="C868" s="2"/>
      <c r="D868" s="2"/>
    </row>
    <row r="869" spans="3:4" ht="15.75" customHeight="1" x14ac:dyDescent="0.25">
      <c r="C869" s="2"/>
      <c r="D869" s="2"/>
    </row>
    <row r="870" spans="3:4" ht="15.75" customHeight="1" x14ac:dyDescent="0.25">
      <c r="C870" s="2"/>
      <c r="D870" s="2"/>
    </row>
    <row r="871" spans="3:4" ht="15.75" customHeight="1" x14ac:dyDescent="0.25">
      <c r="C871" s="2"/>
      <c r="D871" s="2"/>
    </row>
    <row r="872" spans="3:4" ht="15.75" customHeight="1" x14ac:dyDescent="0.25">
      <c r="C872" s="2"/>
      <c r="D872" s="2"/>
    </row>
    <row r="873" spans="3:4" ht="15.75" customHeight="1" x14ac:dyDescent="0.25">
      <c r="C873" s="2"/>
      <c r="D873" s="2"/>
    </row>
    <row r="874" spans="3:4" ht="15.75" customHeight="1" x14ac:dyDescent="0.25">
      <c r="C874" s="2"/>
      <c r="D874" s="2"/>
    </row>
    <row r="875" spans="3:4" ht="15.75" customHeight="1" x14ac:dyDescent="0.25">
      <c r="C875" s="2"/>
      <c r="D875" s="2"/>
    </row>
    <row r="876" spans="3:4" ht="15.75" customHeight="1" x14ac:dyDescent="0.25">
      <c r="C876" s="2"/>
      <c r="D876" s="2"/>
    </row>
    <row r="877" spans="3:4" ht="15.75" customHeight="1" x14ac:dyDescent="0.25">
      <c r="C877" s="2"/>
      <c r="D877" s="2"/>
    </row>
    <row r="878" spans="3:4" ht="15.75" customHeight="1" x14ac:dyDescent="0.25">
      <c r="C878" s="2"/>
      <c r="D878" s="2"/>
    </row>
    <row r="879" spans="3:4" ht="15.75" customHeight="1" x14ac:dyDescent="0.25">
      <c r="C879" s="2"/>
      <c r="D879" s="2"/>
    </row>
    <row r="880" spans="3:4" ht="15.75" customHeight="1" x14ac:dyDescent="0.25">
      <c r="C880" s="2"/>
      <c r="D880" s="2"/>
    </row>
    <row r="881" spans="3:4" ht="15.75" customHeight="1" x14ac:dyDescent="0.25">
      <c r="C881" s="2"/>
      <c r="D881" s="2"/>
    </row>
    <row r="882" spans="3:4" ht="15.75" customHeight="1" x14ac:dyDescent="0.25">
      <c r="C882" s="2"/>
      <c r="D882" s="2"/>
    </row>
    <row r="883" spans="3:4" ht="15.75" customHeight="1" x14ac:dyDescent="0.25">
      <c r="C883" s="2"/>
      <c r="D883" s="2"/>
    </row>
    <row r="884" spans="3:4" ht="15.75" customHeight="1" x14ac:dyDescent="0.25">
      <c r="C884" s="2"/>
      <c r="D884" s="2"/>
    </row>
    <row r="885" spans="3:4" ht="15.75" customHeight="1" x14ac:dyDescent="0.25">
      <c r="C885" s="2"/>
      <c r="D885" s="2"/>
    </row>
    <row r="886" spans="3:4" ht="15.75" customHeight="1" x14ac:dyDescent="0.25">
      <c r="C886" s="2"/>
      <c r="D886" s="2"/>
    </row>
    <row r="887" spans="3:4" ht="15.75" customHeight="1" x14ac:dyDescent="0.25">
      <c r="C887" s="2"/>
      <c r="D887" s="2"/>
    </row>
    <row r="888" spans="3:4" ht="15.75" customHeight="1" x14ac:dyDescent="0.25">
      <c r="C888" s="2"/>
      <c r="D888" s="2"/>
    </row>
    <row r="889" spans="3:4" ht="15.75" customHeight="1" x14ac:dyDescent="0.25">
      <c r="C889" s="2"/>
      <c r="D889" s="2"/>
    </row>
    <row r="890" spans="3:4" ht="15.75" customHeight="1" x14ac:dyDescent="0.25">
      <c r="C890" s="2"/>
      <c r="D890" s="2"/>
    </row>
    <row r="891" spans="3:4" ht="15.75" customHeight="1" x14ac:dyDescent="0.25">
      <c r="C891" s="2"/>
      <c r="D891" s="2"/>
    </row>
    <row r="892" spans="3:4" ht="15.75" customHeight="1" x14ac:dyDescent="0.25">
      <c r="C892" s="2"/>
      <c r="D892" s="2"/>
    </row>
    <row r="893" spans="3:4" ht="15.75" customHeight="1" x14ac:dyDescent="0.25">
      <c r="C893" s="2"/>
      <c r="D893" s="2"/>
    </row>
    <row r="894" spans="3:4" ht="15.75" customHeight="1" x14ac:dyDescent="0.25">
      <c r="C894" s="2"/>
      <c r="D894" s="2"/>
    </row>
    <row r="895" spans="3:4" ht="15.75" customHeight="1" x14ac:dyDescent="0.25">
      <c r="C895" s="2"/>
      <c r="D895" s="2"/>
    </row>
    <row r="896" spans="3:4" ht="15.75" customHeight="1" x14ac:dyDescent="0.25">
      <c r="C896" s="2"/>
      <c r="D896" s="2"/>
    </row>
    <row r="897" spans="3:4" ht="15.75" customHeight="1" x14ac:dyDescent="0.25">
      <c r="C897" s="2"/>
      <c r="D897" s="2"/>
    </row>
    <row r="898" spans="3:4" ht="15.75" customHeight="1" x14ac:dyDescent="0.25">
      <c r="C898" s="2"/>
      <c r="D898" s="2"/>
    </row>
    <row r="899" spans="3:4" ht="15.75" customHeight="1" x14ac:dyDescent="0.25">
      <c r="C899" s="2"/>
      <c r="D899" s="2"/>
    </row>
    <row r="900" spans="3:4" ht="15.75" customHeight="1" x14ac:dyDescent="0.25">
      <c r="C900" s="2"/>
      <c r="D900" s="2"/>
    </row>
    <row r="901" spans="3:4" ht="15.75" customHeight="1" x14ac:dyDescent="0.25">
      <c r="C901" s="2"/>
      <c r="D901" s="2"/>
    </row>
    <row r="902" spans="3:4" ht="15.75" customHeight="1" x14ac:dyDescent="0.25">
      <c r="C902" s="2"/>
      <c r="D902" s="2"/>
    </row>
    <row r="903" spans="3:4" ht="15.75" customHeight="1" x14ac:dyDescent="0.25">
      <c r="C903" s="2"/>
      <c r="D903" s="2"/>
    </row>
    <row r="904" spans="3:4" ht="15.75" customHeight="1" x14ac:dyDescent="0.25">
      <c r="C904" s="2"/>
      <c r="D904" s="2"/>
    </row>
    <row r="905" spans="3:4" ht="15.75" customHeight="1" x14ac:dyDescent="0.25">
      <c r="C905" s="2"/>
      <c r="D905" s="2"/>
    </row>
    <row r="906" spans="3:4" ht="15.75" customHeight="1" x14ac:dyDescent="0.25">
      <c r="C906" s="2"/>
      <c r="D906" s="2"/>
    </row>
    <row r="907" spans="3:4" ht="15.75" customHeight="1" x14ac:dyDescent="0.25">
      <c r="C907" s="2"/>
      <c r="D907" s="2"/>
    </row>
    <row r="908" spans="3:4" ht="15.75" customHeight="1" x14ac:dyDescent="0.25">
      <c r="C908" s="2"/>
      <c r="D908" s="2"/>
    </row>
    <row r="909" spans="3:4" ht="15.75" customHeight="1" x14ac:dyDescent="0.25">
      <c r="C909" s="2"/>
      <c r="D909" s="2"/>
    </row>
    <row r="910" spans="3:4" ht="15.75" customHeight="1" x14ac:dyDescent="0.25">
      <c r="C910" s="2"/>
      <c r="D910" s="2"/>
    </row>
    <row r="911" spans="3:4" ht="15.75" customHeight="1" x14ac:dyDescent="0.25">
      <c r="C911" s="2"/>
      <c r="D911" s="2"/>
    </row>
    <row r="912" spans="3:4" ht="15.75" customHeight="1" x14ac:dyDescent="0.25">
      <c r="C912" s="2"/>
      <c r="D912" s="2"/>
    </row>
    <row r="913" spans="3:4" ht="15.75" customHeight="1" x14ac:dyDescent="0.25">
      <c r="C913" s="2"/>
      <c r="D913" s="2"/>
    </row>
    <row r="914" spans="3:4" ht="15.75" customHeight="1" x14ac:dyDescent="0.25">
      <c r="C914" s="2"/>
      <c r="D914" s="2"/>
    </row>
    <row r="915" spans="3:4" ht="15.75" customHeight="1" x14ac:dyDescent="0.25">
      <c r="C915" s="2"/>
      <c r="D915" s="2"/>
    </row>
    <row r="916" spans="3:4" ht="15.75" customHeight="1" x14ac:dyDescent="0.25">
      <c r="C916" s="2"/>
      <c r="D916" s="2"/>
    </row>
    <row r="917" spans="3:4" ht="15.75" customHeight="1" x14ac:dyDescent="0.25">
      <c r="C917" s="2"/>
      <c r="D917" s="2"/>
    </row>
    <row r="918" spans="3:4" ht="15.75" customHeight="1" x14ac:dyDescent="0.25">
      <c r="C918" s="2"/>
      <c r="D918" s="2"/>
    </row>
    <row r="919" spans="3:4" ht="15.75" customHeight="1" x14ac:dyDescent="0.25">
      <c r="C919" s="2"/>
      <c r="D919" s="2"/>
    </row>
    <row r="920" spans="3:4" ht="15.75" customHeight="1" x14ac:dyDescent="0.25">
      <c r="C920" s="2"/>
      <c r="D920" s="2"/>
    </row>
    <row r="921" spans="3:4" ht="15.75" customHeight="1" x14ac:dyDescent="0.25">
      <c r="C921" s="2"/>
      <c r="D921" s="2"/>
    </row>
    <row r="922" spans="3:4" ht="15.75" customHeight="1" x14ac:dyDescent="0.25">
      <c r="C922" s="2"/>
      <c r="D922" s="2"/>
    </row>
    <row r="923" spans="3:4" ht="15.75" customHeight="1" x14ac:dyDescent="0.25">
      <c r="C923" s="2"/>
      <c r="D923" s="2"/>
    </row>
    <row r="924" spans="3:4" ht="15.75" customHeight="1" x14ac:dyDescent="0.25">
      <c r="C924" s="2"/>
      <c r="D924" s="2"/>
    </row>
    <row r="925" spans="3:4" ht="15.75" customHeight="1" x14ac:dyDescent="0.25">
      <c r="C925" s="2"/>
      <c r="D925" s="2"/>
    </row>
    <row r="926" spans="3:4" ht="15.75" customHeight="1" x14ac:dyDescent="0.25">
      <c r="C926" s="2"/>
      <c r="D926" s="2"/>
    </row>
    <row r="927" spans="3:4" ht="15.75" customHeight="1" x14ac:dyDescent="0.25">
      <c r="C927" s="2"/>
      <c r="D927" s="2"/>
    </row>
    <row r="928" spans="3:4" ht="15.75" customHeight="1" x14ac:dyDescent="0.25">
      <c r="C928" s="2"/>
      <c r="D928" s="2"/>
    </row>
    <row r="929" spans="3:4" ht="15.75" customHeight="1" x14ac:dyDescent="0.25">
      <c r="C929" s="2"/>
      <c r="D929" s="2"/>
    </row>
    <row r="930" spans="3:4" ht="15.75" customHeight="1" x14ac:dyDescent="0.25">
      <c r="C930" s="2"/>
      <c r="D930" s="2"/>
    </row>
    <row r="931" spans="3:4" ht="15.75" customHeight="1" x14ac:dyDescent="0.25">
      <c r="C931" s="2"/>
      <c r="D931" s="2"/>
    </row>
    <row r="932" spans="3:4" ht="15.75" customHeight="1" x14ac:dyDescent="0.25">
      <c r="C932" s="2"/>
      <c r="D932" s="2"/>
    </row>
    <row r="933" spans="3:4" ht="15.75" customHeight="1" x14ac:dyDescent="0.25">
      <c r="C933" s="2"/>
      <c r="D933" s="2"/>
    </row>
    <row r="934" spans="3:4" ht="15.75" customHeight="1" x14ac:dyDescent="0.25">
      <c r="C934" s="2"/>
      <c r="D934" s="2"/>
    </row>
    <row r="935" spans="3:4" ht="15.75" customHeight="1" x14ac:dyDescent="0.25">
      <c r="C935" s="2"/>
      <c r="D935" s="2"/>
    </row>
    <row r="936" spans="3:4" ht="15.75" customHeight="1" x14ac:dyDescent="0.25">
      <c r="C936" s="2"/>
      <c r="D936" s="2"/>
    </row>
    <row r="937" spans="3:4" ht="15.75" customHeight="1" x14ac:dyDescent="0.25">
      <c r="C937" s="2"/>
      <c r="D937" s="2"/>
    </row>
    <row r="938" spans="3:4" ht="15.75" customHeight="1" x14ac:dyDescent="0.25">
      <c r="C938" s="2"/>
      <c r="D938" s="2"/>
    </row>
    <row r="939" spans="3:4" ht="15.75" customHeight="1" x14ac:dyDescent="0.25">
      <c r="C939" s="2"/>
      <c r="D939" s="2"/>
    </row>
    <row r="940" spans="3:4" ht="15.75" customHeight="1" x14ac:dyDescent="0.25">
      <c r="C940" s="2"/>
      <c r="D940" s="2"/>
    </row>
    <row r="941" spans="3:4" ht="15.75" customHeight="1" x14ac:dyDescent="0.25">
      <c r="C941" s="2"/>
      <c r="D941" s="2"/>
    </row>
    <row r="942" spans="3:4" ht="15.75" customHeight="1" x14ac:dyDescent="0.25">
      <c r="C942" s="2"/>
      <c r="D942" s="2"/>
    </row>
    <row r="943" spans="3:4" ht="15.75" customHeight="1" x14ac:dyDescent="0.25">
      <c r="C943" s="2"/>
      <c r="D943" s="2"/>
    </row>
    <row r="944" spans="3:4" ht="15.75" customHeight="1" x14ac:dyDescent="0.25">
      <c r="C944" s="2"/>
      <c r="D944" s="2"/>
    </row>
    <row r="945" spans="3:4" ht="15.75" customHeight="1" x14ac:dyDescent="0.25">
      <c r="C945" s="2"/>
      <c r="D945" s="2"/>
    </row>
    <row r="946" spans="3:4" ht="15.75" customHeight="1" x14ac:dyDescent="0.25">
      <c r="C946" s="2"/>
      <c r="D946" s="2"/>
    </row>
    <row r="947" spans="3:4" ht="15.75" customHeight="1" x14ac:dyDescent="0.25">
      <c r="C947" s="2"/>
      <c r="D947" s="2"/>
    </row>
    <row r="948" spans="3:4" ht="15.75" customHeight="1" x14ac:dyDescent="0.25">
      <c r="C948" s="2"/>
      <c r="D948" s="2"/>
    </row>
    <row r="949" spans="3:4" ht="15.75" customHeight="1" x14ac:dyDescent="0.25">
      <c r="C949" s="2"/>
      <c r="D949" s="2"/>
    </row>
    <row r="950" spans="3:4" ht="15.75" customHeight="1" x14ac:dyDescent="0.25">
      <c r="C950" s="2"/>
      <c r="D950" s="2"/>
    </row>
    <row r="951" spans="3:4" ht="15.75" customHeight="1" x14ac:dyDescent="0.25">
      <c r="C951" s="2"/>
      <c r="D951" s="2"/>
    </row>
    <row r="952" spans="3:4" ht="15.75" customHeight="1" x14ac:dyDescent="0.25">
      <c r="C952" s="2"/>
      <c r="D952" s="2"/>
    </row>
    <row r="953" spans="3:4" ht="15.75" customHeight="1" x14ac:dyDescent="0.25">
      <c r="C953" s="2"/>
      <c r="D953" s="2"/>
    </row>
    <row r="954" spans="3:4" ht="15.75" customHeight="1" x14ac:dyDescent="0.25">
      <c r="C954" s="2"/>
      <c r="D954" s="2"/>
    </row>
    <row r="955" spans="3:4" ht="15.75" customHeight="1" x14ac:dyDescent="0.25">
      <c r="C955" s="2"/>
      <c r="D955" s="2"/>
    </row>
    <row r="956" spans="3:4" ht="15.75" customHeight="1" x14ac:dyDescent="0.25">
      <c r="C956" s="2"/>
      <c r="D956" s="2"/>
    </row>
    <row r="957" spans="3:4" ht="15.75" customHeight="1" x14ac:dyDescent="0.25">
      <c r="C957" s="2"/>
      <c r="D957" s="2"/>
    </row>
    <row r="958" spans="3:4" ht="15.75" customHeight="1" x14ac:dyDescent="0.25">
      <c r="C958" s="2"/>
      <c r="D958" s="2"/>
    </row>
    <row r="959" spans="3:4" ht="15.75" customHeight="1" x14ac:dyDescent="0.25">
      <c r="C959" s="2"/>
      <c r="D959" s="2"/>
    </row>
    <row r="960" spans="3:4" ht="15.75" customHeight="1" x14ac:dyDescent="0.25">
      <c r="C960" s="2"/>
      <c r="D960" s="2"/>
    </row>
    <row r="961" spans="3:4" ht="15.75" customHeight="1" x14ac:dyDescent="0.25">
      <c r="C961" s="2"/>
      <c r="D961" s="2"/>
    </row>
    <row r="962" spans="3:4" ht="15.75" customHeight="1" x14ac:dyDescent="0.25">
      <c r="C962" s="2"/>
      <c r="D962" s="2"/>
    </row>
    <row r="963" spans="3:4" ht="15.75" customHeight="1" x14ac:dyDescent="0.25">
      <c r="C963" s="2"/>
      <c r="D963" s="2"/>
    </row>
    <row r="964" spans="3:4" ht="15.75" customHeight="1" x14ac:dyDescent="0.25">
      <c r="C964" s="2"/>
      <c r="D964" s="2"/>
    </row>
    <row r="965" spans="3:4" ht="15.75" customHeight="1" x14ac:dyDescent="0.25">
      <c r="C965" s="2"/>
      <c r="D965" s="2"/>
    </row>
    <row r="966" spans="3:4" ht="15.75" customHeight="1" x14ac:dyDescent="0.25">
      <c r="C966" s="2"/>
      <c r="D966" s="2"/>
    </row>
    <row r="967" spans="3:4" ht="15.75" customHeight="1" x14ac:dyDescent="0.25">
      <c r="C967" s="2"/>
      <c r="D967" s="2"/>
    </row>
    <row r="968" spans="3:4" ht="15.75" customHeight="1" x14ac:dyDescent="0.25">
      <c r="C968" s="2"/>
      <c r="D968" s="2"/>
    </row>
    <row r="969" spans="3:4" ht="15.75" customHeight="1" x14ac:dyDescent="0.25">
      <c r="C969" s="2"/>
      <c r="D969" s="2"/>
    </row>
    <row r="970" spans="3:4" ht="15.75" customHeight="1" x14ac:dyDescent="0.25">
      <c r="C970" s="2"/>
      <c r="D970" s="2"/>
    </row>
    <row r="971" spans="3:4" ht="15.75" customHeight="1" x14ac:dyDescent="0.25">
      <c r="C971" s="2"/>
      <c r="D971" s="2"/>
    </row>
    <row r="972" spans="3:4" ht="15.75" customHeight="1" x14ac:dyDescent="0.25">
      <c r="C972" s="2"/>
      <c r="D972" s="2"/>
    </row>
    <row r="973" spans="3:4" ht="15.75" customHeight="1" x14ac:dyDescent="0.25">
      <c r="C973" s="2"/>
      <c r="D973" s="2"/>
    </row>
    <row r="974" spans="3:4" ht="15.75" customHeight="1" x14ac:dyDescent="0.25">
      <c r="C974" s="2"/>
      <c r="D974" s="2"/>
    </row>
    <row r="975" spans="3:4" ht="15.75" customHeight="1" x14ac:dyDescent="0.25">
      <c r="C975" s="2"/>
      <c r="D975" s="2"/>
    </row>
    <row r="976" spans="3:4" ht="15.75" customHeight="1" x14ac:dyDescent="0.25">
      <c r="C976" s="2"/>
      <c r="D976" s="2"/>
    </row>
    <row r="977" spans="3:4" ht="15.75" customHeight="1" x14ac:dyDescent="0.25">
      <c r="C977" s="2"/>
      <c r="D977" s="2"/>
    </row>
    <row r="978" spans="3:4" ht="15.75" customHeight="1" x14ac:dyDescent="0.25">
      <c r="C978" s="2"/>
      <c r="D978" s="2"/>
    </row>
    <row r="979" spans="3:4" ht="15.75" customHeight="1" x14ac:dyDescent="0.25">
      <c r="C979" s="2"/>
      <c r="D979" s="2"/>
    </row>
    <row r="980" spans="3:4" ht="15.75" customHeight="1" x14ac:dyDescent="0.25">
      <c r="C980" s="2"/>
      <c r="D980" s="2"/>
    </row>
    <row r="981" spans="3:4" ht="15.75" customHeight="1" x14ac:dyDescent="0.25">
      <c r="C981" s="2"/>
      <c r="D981" s="2"/>
    </row>
    <row r="982" spans="3:4" ht="15.75" customHeight="1" x14ac:dyDescent="0.25">
      <c r="C982" s="2"/>
      <c r="D982" s="2"/>
    </row>
    <row r="983" spans="3:4" ht="15.75" customHeight="1" x14ac:dyDescent="0.25">
      <c r="C983" s="2"/>
      <c r="D983" s="2"/>
    </row>
    <row r="984" spans="3:4" ht="15.75" customHeight="1" x14ac:dyDescent="0.25">
      <c r="C984" s="2"/>
      <c r="D984" s="2"/>
    </row>
    <row r="985" spans="3:4" ht="15.75" customHeight="1" x14ac:dyDescent="0.25">
      <c r="C985" s="2"/>
      <c r="D985" s="2"/>
    </row>
    <row r="986" spans="3:4" ht="15.75" customHeight="1" x14ac:dyDescent="0.25">
      <c r="C986" s="2"/>
      <c r="D986" s="2"/>
    </row>
    <row r="987" spans="3:4" ht="15.75" customHeight="1" x14ac:dyDescent="0.25">
      <c r="C987" s="2"/>
      <c r="D987" s="2"/>
    </row>
    <row r="988" spans="3:4" ht="15.75" customHeight="1" x14ac:dyDescent="0.25">
      <c r="C988" s="2"/>
      <c r="D988" s="2"/>
    </row>
    <row r="989" spans="3:4" ht="15.75" customHeight="1" x14ac:dyDescent="0.25">
      <c r="C989" s="2"/>
      <c r="D989" s="2"/>
    </row>
    <row r="990" spans="3:4" ht="15.75" customHeight="1" x14ac:dyDescent="0.25">
      <c r="C990" s="2"/>
      <c r="D990" s="2"/>
    </row>
    <row r="991" spans="3:4" ht="15.75" customHeight="1" x14ac:dyDescent="0.25">
      <c r="C991" s="2"/>
      <c r="D991" s="2"/>
    </row>
    <row r="992" spans="3:4" ht="15.75" customHeight="1" x14ac:dyDescent="0.25">
      <c r="C992" s="2"/>
      <c r="D992" s="2"/>
    </row>
    <row r="993" spans="3:4" ht="15.75" customHeight="1" x14ac:dyDescent="0.25">
      <c r="C993" s="2"/>
      <c r="D993" s="2"/>
    </row>
    <row r="994" spans="3:4" ht="15.75" customHeight="1" x14ac:dyDescent="0.25">
      <c r="C994" s="2"/>
      <c r="D994" s="2"/>
    </row>
    <row r="995" spans="3:4" ht="15.75" customHeight="1" x14ac:dyDescent="0.25">
      <c r="C995" s="2"/>
      <c r="D995" s="2"/>
    </row>
    <row r="996" spans="3:4" ht="15.75" customHeight="1" x14ac:dyDescent="0.25">
      <c r="C996" s="2"/>
      <c r="D996" s="2"/>
    </row>
    <row r="997" spans="3:4" ht="15.75" customHeight="1" x14ac:dyDescent="0.25">
      <c r="C997" s="2"/>
      <c r="D997" s="2"/>
    </row>
    <row r="998" spans="3:4" ht="15.75" customHeight="1" x14ac:dyDescent="0.25">
      <c r="C998" s="2"/>
      <c r="D998" s="2"/>
    </row>
    <row r="999" spans="3:4" ht="15.75" customHeight="1" x14ac:dyDescent="0.25">
      <c r="C999" s="2"/>
      <c r="D999" s="2"/>
    </row>
    <row r="1000" spans="3:4" ht="15.75" customHeight="1" x14ac:dyDescent="0.25">
      <c r="C1000" s="2"/>
      <c r="D1000" s="2"/>
    </row>
    <row r="1001" spans="3:4" ht="15.75" customHeight="1" x14ac:dyDescent="0.25">
      <c r="C1001" s="2"/>
      <c r="D1001" s="2"/>
    </row>
    <row r="1002" spans="3:4" ht="15.75" customHeight="1" x14ac:dyDescent="0.25">
      <c r="C1002" s="2"/>
      <c r="D1002" s="2"/>
    </row>
    <row r="1003" spans="3:4" ht="15.75" customHeight="1" x14ac:dyDescent="0.25">
      <c r="C1003" s="2"/>
      <c r="D1003" s="2"/>
    </row>
    <row r="1004" spans="3:4" ht="15.75" customHeight="1" x14ac:dyDescent="0.25">
      <c r="C1004" s="2"/>
      <c r="D1004" s="2"/>
    </row>
    <row r="1005" spans="3:4" ht="15.75" customHeight="1" x14ac:dyDescent="0.25">
      <c r="C1005" s="2"/>
      <c r="D1005" s="2"/>
    </row>
    <row r="1006" spans="3:4" ht="15.75" customHeight="1" x14ac:dyDescent="0.25">
      <c r="C1006" s="2"/>
      <c r="D1006" s="2"/>
    </row>
    <row r="1007" spans="3:4" ht="15.75" customHeight="1" x14ac:dyDescent="0.25">
      <c r="C1007" s="2"/>
      <c r="D1007" s="2"/>
    </row>
    <row r="1008" spans="3:4" ht="15.75" customHeight="1" x14ac:dyDescent="0.25">
      <c r="C1008" s="2"/>
      <c r="D1008" s="2"/>
    </row>
    <row r="1009" spans="3:4" ht="15.75" customHeight="1" x14ac:dyDescent="0.25">
      <c r="C1009" s="2"/>
      <c r="D1009" s="2"/>
    </row>
    <row r="1010" spans="3:4" ht="15.75" customHeight="1" x14ac:dyDescent="0.25">
      <c r="C1010" s="2"/>
      <c r="D1010" s="2"/>
    </row>
    <row r="1011" spans="3:4" ht="15.75" customHeight="1" x14ac:dyDescent="0.25">
      <c r="C1011" s="2"/>
      <c r="D1011" s="2"/>
    </row>
    <row r="1012" spans="3:4" ht="15.75" customHeight="1" x14ac:dyDescent="0.25">
      <c r="C1012" s="2"/>
      <c r="D1012" s="2"/>
    </row>
    <row r="1013" spans="3:4" ht="15.75" customHeight="1" x14ac:dyDescent="0.25">
      <c r="C1013" s="2"/>
      <c r="D1013" s="2"/>
    </row>
    <row r="1014" spans="3:4" ht="15.75" customHeight="1" x14ac:dyDescent="0.25">
      <c r="C1014" s="2"/>
      <c r="D1014" s="2"/>
    </row>
    <row r="1015" spans="3:4" ht="15.75" customHeight="1" x14ac:dyDescent="0.25">
      <c r="C1015" s="2"/>
      <c r="D1015" s="2"/>
    </row>
    <row r="1016" spans="3:4" ht="15.75" customHeight="1" x14ac:dyDescent="0.25">
      <c r="C1016" s="2"/>
      <c r="D1016" s="2"/>
    </row>
    <row r="1017" spans="3:4" ht="15.75" customHeight="1" x14ac:dyDescent="0.25">
      <c r="C1017" s="2"/>
      <c r="D1017" s="2"/>
    </row>
    <row r="1018" spans="3:4" ht="15.75" customHeight="1" x14ac:dyDescent="0.25">
      <c r="C1018" s="2"/>
      <c r="D1018" s="2"/>
    </row>
    <row r="1019" spans="3:4" ht="15.75" customHeight="1" x14ac:dyDescent="0.25">
      <c r="C1019" s="2"/>
      <c r="D1019" s="2"/>
    </row>
    <row r="1020" spans="3:4" ht="15.75" customHeight="1" x14ac:dyDescent="0.25">
      <c r="C1020" s="2"/>
      <c r="D1020" s="2"/>
    </row>
    <row r="1021" spans="3:4" ht="15.75" customHeight="1" x14ac:dyDescent="0.25">
      <c r="C1021" s="2"/>
      <c r="D1021" s="2"/>
    </row>
    <row r="1022" spans="3:4" ht="15.75" customHeight="1" x14ac:dyDescent="0.25">
      <c r="C1022" s="2"/>
      <c r="D1022" s="2"/>
    </row>
    <row r="1023" spans="3:4" ht="15.75" customHeight="1" x14ac:dyDescent="0.25">
      <c r="C1023" s="2"/>
      <c r="D1023" s="2"/>
    </row>
    <row r="1024" spans="3:4" ht="15.75" customHeight="1" x14ac:dyDescent="0.25">
      <c r="C1024" s="2"/>
      <c r="D1024" s="2"/>
    </row>
    <row r="1025" spans="3:4" ht="15.75" customHeight="1" x14ac:dyDescent="0.25">
      <c r="C1025" s="2"/>
      <c r="D1025" s="2"/>
    </row>
    <row r="1026" spans="3:4" ht="15.75" customHeight="1" x14ac:dyDescent="0.25">
      <c r="C1026" s="2"/>
      <c r="D1026" s="2"/>
    </row>
    <row r="1027" spans="3:4" ht="15.75" customHeight="1" x14ac:dyDescent="0.25">
      <c r="C1027" s="2"/>
      <c r="D1027" s="2"/>
    </row>
    <row r="1028" spans="3:4" ht="15.75" customHeight="1" x14ac:dyDescent="0.25">
      <c r="C1028" s="2"/>
      <c r="D1028" s="2"/>
    </row>
    <row r="1029" spans="3:4" ht="15.75" customHeight="1" x14ac:dyDescent="0.25">
      <c r="C1029" s="2"/>
      <c r="D1029" s="2"/>
    </row>
    <row r="1030" spans="3:4" ht="15.75" customHeight="1" x14ac:dyDescent="0.25">
      <c r="C1030" s="2"/>
      <c r="D1030" s="2"/>
    </row>
    <row r="1031" spans="3:4" ht="15.75" customHeight="1" x14ac:dyDescent="0.25">
      <c r="C1031" s="2"/>
      <c r="D1031" s="2"/>
    </row>
    <row r="1032" spans="3:4" ht="15" customHeight="1" x14ac:dyDescent="0.25">
      <c r="C1032" s="2"/>
      <c r="D1032" s="2"/>
    </row>
    <row r="1033" spans="3:4" ht="15" customHeight="1" x14ac:dyDescent="0.25">
      <c r="C1033" s="2"/>
      <c r="D1033" s="2"/>
    </row>
    <row r="1034" spans="3:4" ht="15" customHeight="1" x14ac:dyDescent="0.25">
      <c r="C1034" s="2"/>
      <c r="D1034" s="2"/>
    </row>
    <row r="1035" spans="3:4" ht="15" customHeight="1" x14ac:dyDescent="0.25">
      <c r="C1035" s="2"/>
      <c r="D1035" s="2"/>
    </row>
    <row r="1036" spans="3:4" ht="15" customHeight="1" x14ac:dyDescent="0.25">
      <c r="C1036" s="2"/>
      <c r="D1036" s="2"/>
    </row>
    <row r="1037" spans="3:4" ht="15" customHeight="1" x14ac:dyDescent="0.25">
      <c r="C1037" s="2"/>
      <c r="D1037" s="2"/>
    </row>
    <row r="1038" spans="3:4" ht="15" customHeight="1" x14ac:dyDescent="0.25">
      <c r="C1038" s="2"/>
      <c r="D1038" s="2"/>
    </row>
    <row r="1039" spans="3:4" ht="15" customHeight="1" x14ac:dyDescent="0.25">
      <c r="C1039" s="2"/>
      <c r="D1039" s="2"/>
    </row>
    <row r="1040" spans="3:4" ht="15" customHeight="1" x14ac:dyDescent="0.25">
      <c r="C1040" s="2"/>
      <c r="D1040" s="2"/>
    </row>
    <row r="1041" spans="3:4" ht="15" customHeight="1" x14ac:dyDescent="0.25">
      <c r="C1041" s="2"/>
      <c r="D1041" s="2"/>
    </row>
    <row r="1042" spans="3:4" ht="15" customHeight="1" x14ac:dyDescent="0.25">
      <c r="C1042" s="2"/>
      <c r="D1042" s="2"/>
    </row>
    <row r="1043" spans="3:4" ht="15" customHeight="1" x14ac:dyDescent="0.25">
      <c r="C1043" s="2"/>
      <c r="D1043" s="2"/>
    </row>
    <row r="1044" spans="3:4" ht="15" customHeight="1" x14ac:dyDescent="0.25">
      <c r="C1044" s="2"/>
      <c r="D1044" s="2"/>
    </row>
    <row r="1045" spans="3:4" ht="15" customHeight="1" x14ac:dyDescent="0.25">
      <c r="C1045" s="2"/>
      <c r="D1045" s="2"/>
    </row>
    <row r="1046" spans="3:4" ht="15" customHeight="1" x14ac:dyDescent="0.25">
      <c r="C1046" s="2"/>
      <c r="D1046" s="2"/>
    </row>
    <row r="1047" spans="3:4" ht="15" customHeight="1" x14ac:dyDescent="0.25">
      <c r="C1047" s="2"/>
      <c r="D1047" s="2"/>
    </row>
    <row r="1048" spans="3:4" ht="15" customHeight="1" x14ac:dyDescent="0.25">
      <c r="C1048" s="2"/>
      <c r="D1048" s="2"/>
    </row>
    <row r="1049" spans="3:4" ht="15" customHeight="1" x14ac:dyDescent="0.25">
      <c r="C1049" s="2"/>
      <c r="D1049" s="2"/>
    </row>
    <row r="1050" spans="3:4" ht="15" customHeight="1" x14ac:dyDescent="0.25">
      <c r="C1050" s="2"/>
      <c r="D1050" s="2"/>
    </row>
    <row r="1051" spans="3:4" ht="15" customHeight="1" x14ac:dyDescent="0.25">
      <c r="C1051" s="2"/>
      <c r="D1051" s="2"/>
    </row>
    <row r="1052" spans="3:4" ht="15" customHeight="1" x14ac:dyDescent="0.25">
      <c r="C1052" s="2"/>
      <c r="D1052" s="2"/>
    </row>
    <row r="1053" spans="3:4" ht="15" customHeight="1" x14ac:dyDescent="0.25">
      <c r="C1053" s="2"/>
      <c r="D1053" s="2"/>
    </row>
    <row r="1054" spans="3:4" ht="15" customHeight="1" x14ac:dyDescent="0.25">
      <c r="C1054" s="2"/>
      <c r="D1054" s="2"/>
    </row>
    <row r="1055" spans="3:4" ht="15" customHeight="1" x14ac:dyDescent="0.25">
      <c r="C1055" s="2"/>
      <c r="D1055" s="2"/>
    </row>
    <row r="1056" spans="3:4" ht="15" customHeight="1" x14ac:dyDescent="0.25">
      <c r="C1056" s="2"/>
      <c r="D1056" s="2"/>
    </row>
    <row r="1057" spans="3:4" ht="15" customHeight="1" x14ac:dyDescent="0.25">
      <c r="C1057" s="2"/>
      <c r="D1057" s="2"/>
    </row>
    <row r="1058" spans="3:4" ht="15" customHeight="1" x14ac:dyDescent="0.25">
      <c r="C1058" s="2"/>
      <c r="D1058" s="2"/>
    </row>
    <row r="1059" spans="3:4" ht="15" customHeight="1" x14ac:dyDescent="0.25">
      <c r="C1059" s="2"/>
      <c r="D1059" s="2"/>
    </row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2A4E-0537-49A3-B9C7-7C19C2093BEF}">
  <sheetPr codeName="Sheet5"/>
  <dimension ref="A1:O997"/>
  <sheetViews>
    <sheetView workbookViewId="0">
      <selection activeCell="G1" sqref="G1:G1048576"/>
    </sheetView>
  </sheetViews>
  <sheetFormatPr defaultColWidth="14.42578125" defaultRowHeight="15" customHeight="1" x14ac:dyDescent="0.25"/>
  <cols>
    <col min="1" max="1" width="32.7109375" style="17" bestFit="1" customWidth="1"/>
    <col min="2" max="2" width="9.7109375" style="17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12" width="8.7109375" style="17" customWidth="1"/>
    <col min="13" max="13" width="19.5703125" style="17" bestFit="1" customWidth="1"/>
    <col min="14" max="14" width="14.85546875" style="17" bestFit="1" customWidth="1"/>
    <col min="15" max="26" width="8.7109375" style="17" customWidth="1"/>
    <col min="27" max="16384" width="14.42578125" style="17"/>
  </cols>
  <sheetData>
    <row r="1" spans="1:15" x14ac:dyDescent="0.25">
      <c r="A1" s="184" t="s">
        <v>0</v>
      </c>
      <c r="B1" s="188">
        <f>SUMIF('03_2025'!$C$5:$C$149,"Expense",'03_2025'!$B$5:$B$149)-SUMIF('03_2025'!$C$5:$C$149,"Income",'03_2025'!$B$5:$B$149)</f>
        <v>-2878.055333333341</v>
      </c>
    </row>
    <row r="2" spans="1:15" ht="15" customHeight="1" x14ac:dyDescent="0.25">
      <c r="A2" s="186"/>
      <c r="B2" s="189"/>
    </row>
    <row r="3" spans="1:15" x14ac:dyDescent="0.25">
      <c r="F3" s="18">
        <v>12</v>
      </c>
    </row>
    <row r="4" spans="1:15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</row>
    <row r="5" spans="1:15" x14ac:dyDescent="0.25">
      <c r="A5" s="18" t="s">
        <v>120</v>
      </c>
      <c r="B5" s="18">
        <v>17.95</v>
      </c>
      <c r="C5" s="18" t="s">
        <v>8</v>
      </c>
      <c r="D5" s="18" t="s">
        <v>31</v>
      </c>
      <c r="E5" s="8" t="s">
        <v>12</v>
      </c>
      <c r="F5" s="33">
        <v>45721</v>
      </c>
      <c r="G5" s="35" t="s">
        <v>293</v>
      </c>
    </row>
    <row r="6" spans="1:15" x14ac:dyDescent="0.25">
      <c r="A6" s="18" t="s">
        <v>60</v>
      </c>
      <c r="B6" s="3">
        <v>272</v>
      </c>
      <c r="C6" s="18" t="s">
        <v>8</v>
      </c>
      <c r="D6" s="18" t="s">
        <v>61</v>
      </c>
      <c r="E6" s="8" t="s">
        <v>12</v>
      </c>
      <c r="F6" s="5">
        <v>45719</v>
      </c>
      <c r="G6" s="31"/>
    </row>
    <row r="7" spans="1:15" x14ac:dyDescent="0.25">
      <c r="A7" s="18" t="s">
        <v>62</v>
      </c>
      <c r="B7" s="3">
        <v>400</v>
      </c>
      <c r="C7" s="18" t="s">
        <v>8</v>
      </c>
      <c r="D7" s="18" t="s">
        <v>63</v>
      </c>
      <c r="E7" s="8" t="s">
        <v>12</v>
      </c>
      <c r="F7" s="5">
        <v>45719</v>
      </c>
      <c r="G7" s="31"/>
    </row>
    <row r="8" spans="1:15" x14ac:dyDescent="0.25">
      <c r="A8" s="18" t="s">
        <v>64</v>
      </c>
      <c r="B8" s="3">
        <v>289.89999999999998</v>
      </c>
      <c r="C8" s="18" t="s">
        <v>8</v>
      </c>
      <c r="D8" s="18" t="s">
        <v>61</v>
      </c>
      <c r="E8" s="8" t="s">
        <v>17</v>
      </c>
      <c r="F8" s="5">
        <v>45721</v>
      </c>
      <c r="G8" s="31"/>
      <c r="M8" s="11" t="s">
        <v>129</v>
      </c>
      <c r="N8" s="12" t="s">
        <v>131</v>
      </c>
      <c r="O8"/>
    </row>
    <row r="9" spans="1:15" x14ac:dyDescent="0.25">
      <c r="A9" s="18" t="s">
        <v>66</v>
      </c>
      <c r="B9" s="3">
        <v>150</v>
      </c>
      <c r="C9" s="18" t="s">
        <v>8</v>
      </c>
      <c r="D9" s="18" t="s">
        <v>63</v>
      </c>
      <c r="E9" s="8" t="s">
        <v>17</v>
      </c>
      <c r="F9" s="5">
        <v>45726</v>
      </c>
      <c r="G9" s="31"/>
      <c r="M9" s="13" t="s">
        <v>70</v>
      </c>
      <c r="N9" s="14">
        <v>4298</v>
      </c>
      <c r="O9"/>
    </row>
    <row r="10" spans="1:15" x14ac:dyDescent="0.25">
      <c r="A10" s="18" t="s">
        <v>189</v>
      </c>
      <c r="B10" s="3">
        <v>137.77000000000001</v>
      </c>
      <c r="C10" s="18" t="s">
        <v>8</v>
      </c>
      <c r="D10" s="18" t="s">
        <v>68</v>
      </c>
      <c r="E10" s="8" t="s">
        <v>12</v>
      </c>
      <c r="F10" s="5">
        <v>45729</v>
      </c>
      <c r="G10" s="31"/>
      <c r="M10" s="13" t="s">
        <v>20</v>
      </c>
      <c r="N10" s="14">
        <v>158.5</v>
      </c>
      <c r="O10"/>
    </row>
    <row r="11" spans="1:15" x14ac:dyDescent="0.25">
      <c r="A11" s="18" t="s">
        <v>69</v>
      </c>
      <c r="B11" s="3">
        <v>4298</v>
      </c>
      <c r="C11" s="18" t="s">
        <v>8</v>
      </c>
      <c r="D11" s="18" t="s">
        <v>70</v>
      </c>
      <c r="E11" s="8" t="s">
        <v>12</v>
      </c>
      <c r="F11" s="5">
        <v>45731</v>
      </c>
      <c r="G11" s="31"/>
      <c r="M11" s="13" t="s">
        <v>22</v>
      </c>
      <c r="N11" s="14">
        <v>1652.6818333333335</v>
      </c>
      <c r="O11"/>
    </row>
    <row r="12" spans="1:15" x14ac:dyDescent="0.25">
      <c r="A12" s="18" t="s">
        <v>71</v>
      </c>
      <c r="B12" s="3">
        <v>5679.6</v>
      </c>
      <c r="C12" s="18" t="s">
        <v>72</v>
      </c>
      <c r="D12" s="18" t="s">
        <v>73</v>
      </c>
      <c r="E12" s="8" t="s">
        <v>17</v>
      </c>
      <c r="F12" s="5">
        <v>45731</v>
      </c>
      <c r="G12" s="31"/>
      <c r="M12" s="13" t="s">
        <v>26</v>
      </c>
      <c r="N12" s="14">
        <v>809</v>
      </c>
      <c r="O12"/>
    </row>
    <row r="13" spans="1:15" x14ac:dyDescent="0.25">
      <c r="A13" s="18" t="s">
        <v>74</v>
      </c>
      <c r="B13" s="3">
        <v>5710.37</v>
      </c>
      <c r="C13" s="18" t="s">
        <v>72</v>
      </c>
      <c r="D13" s="18" t="s">
        <v>73</v>
      </c>
      <c r="E13" s="8" t="s">
        <v>12</v>
      </c>
      <c r="F13" s="5">
        <v>45731</v>
      </c>
      <c r="G13" s="31"/>
      <c r="M13" s="13" t="s">
        <v>108</v>
      </c>
      <c r="N13" s="14">
        <v>346.14</v>
      </c>
      <c r="O13"/>
    </row>
    <row r="14" spans="1:15" x14ac:dyDescent="0.25">
      <c r="A14" s="18" t="s">
        <v>75</v>
      </c>
      <c r="B14" s="3">
        <v>60</v>
      </c>
      <c r="C14" s="18" t="s">
        <v>8</v>
      </c>
      <c r="D14" s="18" t="s">
        <v>63</v>
      </c>
      <c r="E14" s="8" t="s">
        <v>12</v>
      </c>
      <c r="F14" s="5">
        <v>45734</v>
      </c>
      <c r="G14" s="31"/>
      <c r="M14" s="13" t="s">
        <v>114</v>
      </c>
      <c r="N14" s="14">
        <v>33.166666666666664</v>
      </c>
      <c r="O14"/>
    </row>
    <row r="15" spans="1:15" x14ac:dyDescent="0.25">
      <c r="A15" s="18" t="s">
        <v>76</v>
      </c>
      <c r="B15" s="3">
        <v>100</v>
      </c>
      <c r="C15" s="18" t="s">
        <v>8</v>
      </c>
      <c r="D15" s="18" t="s">
        <v>63</v>
      </c>
      <c r="E15" s="8" t="s">
        <v>12</v>
      </c>
      <c r="F15" s="5">
        <v>45741</v>
      </c>
      <c r="G15" s="31"/>
      <c r="M15" s="13" t="s">
        <v>63</v>
      </c>
      <c r="N15" s="14">
        <v>1165</v>
      </c>
      <c r="O15"/>
    </row>
    <row r="16" spans="1:15" x14ac:dyDescent="0.25">
      <c r="A16" s="18" t="s">
        <v>77</v>
      </c>
      <c r="B16" s="3">
        <v>49.9</v>
      </c>
      <c r="C16" s="18" t="s">
        <v>8</v>
      </c>
      <c r="D16" s="18" t="s">
        <v>20</v>
      </c>
      <c r="E16" s="8" t="s">
        <v>12</v>
      </c>
      <c r="F16" s="5">
        <v>45741</v>
      </c>
      <c r="G16" s="31"/>
      <c r="M16" s="13" t="s">
        <v>61</v>
      </c>
      <c r="N16" s="14">
        <v>614.89</v>
      </c>
      <c r="O16"/>
    </row>
    <row r="17" spans="1:15" x14ac:dyDescent="0.25">
      <c r="A17" s="18" t="s">
        <v>79</v>
      </c>
      <c r="B17" s="3">
        <v>1623.74</v>
      </c>
      <c r="C17" s="18" t="s">
        <v>8</v>
      </c>
      <c r="D17" s="18" t="s">
        <v>68</v>
      </c>
      <c r="E17" s="8" t="s">
        <v>12</v>
      </c>
      <c r="F17" s="5">
        <v>45746</v>
      </c>
      <c r="G17" s="31"/>
      <c r="M17" s="13" t="s">
        <v>16</v>
      </c>
      <c r="N17" s="14">
        <v>813.84500000000003</v>
      </c>
      <c r="O17"/>
    </row>
    <row r="18" spans="1:15" x14ac:dyDescent="0.25">
      <c r="A18" s="18" t="s">
        <v>80</v>
      </c>
      <c r="B18" s="3">
        <v>604.1</v>
      </c>
      <c r="C18" s="18" t="s">
        <v>8</v>
      </c>
      <c r="D18" s="18" t="s">
        <v>68</v>
      </c>
      <c r="E18" s="8" t="s">
        <v>12</v>
      </c>
      <c r="F18" s="5">
        <v>45746</v>
      </c>
      <c r="G18" s="31"/>
      <c r="M18" s="13" t="s">
        <v>14</v>
      </c>
      <c r="N18" s="14">
        <v>1206.547</v>
      </c>
      <c r="O18"/>
    </row>
    <row r="19" spans="1:15" x14ac:dyDescent="0.25">
      <c r="A19" s="18" t="s">
        <v>81</v>
      </c>
      <c r="B19" s="3">
        <v>113.7</v>
      </c>
      <c r="C19" s="18" t="s">
        <v>8</v>
      </c>
      <c r="D19" s="18" t="s">
        <v>68</v>
      </c>
      <c r="E19" s="8" t="s">
        <v>12</v>
      </c>
      <c r="F19" s="5">
        <v>45746</v>
      </c>
      <c r="G19" s="31"/>
      <c r="M19" s="13" t="s">
        <v>73</v>
      </c>
      <c r="N19" s="14">
        <v>19542.850000000002</v>
      </c>
      <c r="O19"/>
    </row>
    <row r="20" spans="1:15" ht="15.75" customHeight="1" x14ac:dyDescent="0.25">
      <c r="A20" s="18" t="s">
        <v>82</v>
      </c>
      <c r="B20" s="3">
        <v>27.99</v>
      </c>
      <c r="C20" s="18" t="s">
        <v>8</v>
      </c>
      <c r="D20" s="18" t="s">
        <v>68</v>
      </c>
      <c r="E20" s="8" t="s">
        <v>12</v>
      </c>
      <c r="F20" s="5">
        <v>45746</v>
      </c>
      <c r="G20" s="31"/>
      <c r="M20" s="13" t="s">
        <v>68</v>
      </c>
      <c r="N20" s="14">
        <v>2578.3599999999997</v>
      </c>
      <c r="O20"/>
    </row>
    <row r="21" spans="1:15" ht="15.75" customHeight="1" x14ac:dyDescent="0.25">
      <c r="A21" s="18" t="s">
        <v>83</v>
      </c>
      <c r="B21" s="3">
        <v>4425.41</v>
      </c>
      <c r="C21" s="18" t="s">
        <v>72</v>
      </c>
      <c r="D21" s="18" t="s">
        <v>73</v>
      </c>
      <c r="E21" s="8" t="s">
        <v>12</v>
      </c>
      <c r="F21" s="5">
        <v>45746</v>
      </c>
      <c r="G21" s="31"/>
      <c r="M21" s="13" t="s">
        <v>36</v>
      </c>
      <c r="N21" s="14">
        <v>1271.72</v>
      </c>
      <c r="O21"/>
    </row>
    <row r="22" spans="1:15" ht="15.75" customHeight="1" x14ac:dyDescent="0.25">
      <c r="A22" s="18" t="s">
        <v>84</v>
      </c>
      <c r="B22" s="3">
        <v>3727.47</v>
      </c>
      <c r="C22" s="18" t="s">
        <v>72</v>
      </c>
      <c r="D22" s="18" t="s">
        <v>73</v>
      </c>
      <c r="E22" s="8" t="s">
        <v>17</v>
      </c>
      <c r="F22" s="5">
        <v>45746</v>
      </c>
      <c r="G22" s="31"/>
      <c r="M22" s="13" t="s">
        <v>11</v>
      </c>
      <c r="N22" s="14">
        <v>1014.2341666666666</v>
      </c>
      <c r="O22"/>
    </row>
    <row r="23" spans="1:15" ht="15.75" customHeight="1" x14ac:dyDescent="0.25">
      <c r="A23" s="18" t="s">
        <v>85</v>
      </c>
      <c r="B23" s="28">
        <v>25.9</v>
      </c>
      <c r="C23" s="18" t="s">
        <v>8</v>
      </c>
      <c r="D23" s="18" t="s">
        <v>20</v>
      </c>
      <c r="E23" s="8" t="s">
        <v>12</v>
      </c>
      <c r="F23" s="5">
        <v>45430</v>
      </c>
      <c r="G23" s="31"/>
      <c r="M23" s="13" t="s">
        <v>31</v>
      </c>
      <c r="N23" s="14">
        <v>702.70999999999992</v>
      </c>
      <c r="O23"/>
    </row>
    <row r="24" spans="1:15" ht="15.75" customHeight="1" x14ac:dyDescent="0.25">
      <c r="A24" s="2" t="s">
        <v>225</v>
      </c>
      <c r="B24" s="3">
        <f>877.5/12</f>
        <v>73.125</v>
      </c>
      <c r="C24" s="2" t="s">
        <v>8</v>
      </c>
      <c r="D24" s="2" t="s">
        <v>16</v>
      </c>
      <c r="E24" s="8" t="s">
        <v>12</v>
      </c>
      <c r="F24" s="5">
        <v>45629</v>
      </c>
      <c r="G24" s="31" t="s">
        <v>297</v>
      </c>
      <c r="M24" s="15" t="s">
        <v>130</v>
      </c>
      <c r="N24" s="16">
        <v>36207.644666666674</v>
      </c>
      <c r="O24"/>
    </row>
    <row r="25" spans="1:15" ht="15.75" customHeight="1" x14ac:dyDescent="0.25">
      <c r="A25" s="18" t="s">
        <v>226</v>
      </c>
      <c r="B25" s="28">
        <v>46.61</v>
      </c>
      <c r="C25" s="2" t="s">
        <v>8</v>
      </c>
      <c r="D25" s="18" t="s">
        <v>22</v>
      </c>
      <c r="E25" s="18" t="s">
        <v>12</v>
      </c>
      <c r="F25" s="5">
        <v>45657</v>
      </c>
      <c r="G25" s="31" t="s">
        <v>309</v>
      </c>
      <c r="M25"/>
      <c r="N25"/>
      <c r="O25"/>
    </row>
    <row r="26" spans="1:15" ht="15.75" customHeight="1" x14ac:dyDescent="0.25">
      <c r="A26" s="2" t="s">
        <v>227</v>
      </c>
      <c r="B26" s="3">
        <v>51.68</v>
      </c>
      <c r="C26" s="2" t="s">
        <v>8</v>
      </c>
      <c r="D26" s="2" t="s">
        <v>11</v>
      </c>
      <c r="E26" s="8" t="s">
        <v>12</v>
      </c>
      <c r="F26" s="5">
        <v>45643</v>
      </c>
      <c r="G26" s="31" t="s">
        <v>328</v>
      </c>
      <c r="M26"/>
      <c r="N26"/>
    </row>
    <row r="27" spans="1:15" ht="15.75" customHeight="1" x14ac:dyDescent="0.25">
      <c r="A27" s="18" t="s">
        <v>228</v>
      </c>
      <c r="B27" s="28">
        <v>82.17</v>
      </c>
      <c r="C27" s="2" t="s">
        <v>8</v>
      </c>
      <c r="D27" s="18" t="s">
        <v>14</v>
      </c>
      <c r="E27" s="18" t="s">
        <v>12</v>
      </c>
      <c r="F27" s="5">
        <v>45657</v>
      </c>
      <c r="G27" s="31" t="s">
        <v>305</v>
      </c>
      <c r="M27"/>
      <c r="N27"/>
    </row>
    <row r="28" spans="1:15" ht="15.75" customHeight="1" x14ac:dyDescent="0.25">
      <c r="A28" s="18" t="s">
        <v>229</v>
      </c>
      <c r="B28" s="28">
        <v>346.14</v>
      </c>
      <c r="C28" s="2" t="s">
        <v>8</v>
      </c>
      <c r="D28" s="18" t="s">
        <v>108</v>
      </c>
      <c r="E28" s="18" t="s">
        <v>12</v>
      </c>
      <c r="F28" s="5">
        <v>45657</v>
      </c>
      <c r="G28" s="31" t="s">
        <v>329</v>
      </c>
      <c r="M28"/>
      <c r="N28"/>
    </row>
    <row r="29" spans="1:15" ht="15.75" customHeight="1" x14ac:dyDescent="0.25">
      <c r="A29" s="2" t="s">
        <v>230</v>
      </c>
      <c r="B29" s="3">
        <v>33.36</v>
      </c>
      <c r="C29" s="2" t="s">
        <v>8</v>
      </c>
      <c r="D29" s="2" t="s">
        <v>11</v>
      </c>
      <c r="E29" s="18" t="s">
        <v>12</v>
      </c>
      <c r="F29" s="5">
        <v>45639</v>
      </c>
      <c r="G29" s="31" t="s">
        <v>330</v>
      </c>
      <c r="M29"/>
      <c r="N29"/>
    </row>
    <row r="30" spans="1:15" ht="15.75" customHeight="1" x14ac:dyDescent="0.25">
      <c r="A30" s="18" t="s">
        <v>231</v>
      </c>
      <c r="B30" s="28">
        <v>44.97</v>
      </c>
      <c r="C30" s="2" t="s">
        <v>8</v>
      </c>
      <c r="D30" s="18" t="s">
        <v>14</v>
      </c>
      <c r="E30" s="18" t="s">
        <v>12</v>
      </c>
      <c r="F30" s="5">
        <v>45657</v>
      </c>
      <c r="G30" s="31" t="s">
        <v>305</v>
      </c>
      <c r="M30"/>
      <c r="N30"/>
    </row>
    <row r="31" spans="1:15" ht="15.75" customHeight="1" x14ac:dyDescent="0.25">
      <c r="A31" s="18" t="s">
        <v>232</v>
      </c>
      <c r="B31" s="28">
        <v>27.01</v>
      </c>
      <c r="C31" s="2" t="s">
        <v>8</v>
      </c>
      <c r="D31" s="18" t="s">
        <v>22</v>
      </c>
      <c r="E31" s="18" t="s">
        <v>12</v>
      </c>
      <c r="F31" s="5">
        <v>45657</v>
      </c>
      <c r="G31" s="31" t="s">
        <v>331</v>
      </c>
      <c r="M31"/>
      <c r="N31"/>
    </row>
    <row r="32" spans="1:15" ht="15.75" customHeight="1" x14ac:dyDescent="0.25">
      <c r="A32" s="18" t="s">
        <v>233</v>
      </c>
      <c r="B32" s="3">
        <v>81.819999999999993</v>
      </c>
      <c r="C32" s="18" t="s">
        <v>8</v>
      </c>
      <c r="D32" s="18" t="s">
        <v>16</v>
      </c>
      <c r="E32" s="8" t="s">
        <v>12</v>
      </c>
      <c r="F32" s="5">
        <v>45662</v>
      </c>
      <c r="G32" s="31" t="s">
        <v>305</v>
      </c>
      <c r="M32"/>
      <c r="N32"/>
    </row>
    <row r="33" spans="1:14" ht="15.75" customHeight="1" x14ac:dyDescent="0.25">
      <c r="A33" s="18" t="s">
        <v>234</v>
      </c>
      <c r="B33" s="3">
        <v>91.19</v>
      </c>
      <c r="C33" s="18" t="s">
        <v>8</v>
      </c>
      <c r="D33" s="18" t="s">
        <v>22</v>
      </c>
      <c r="E33" s="8" t="s">
        <v>12</v>
      </c>
      <c r="F33" s="5">
        <v>45663</v>
      </c>
      <c r="G33" s="31" t="s">
        <v>305</v>
      </c>
      <c r="M33"/>
      <c r="N33"/>
    </row>
    <row r="34" spans="1:14" ht="15.75" customHeight="1" x14ac:dyDescent="0.25">
      <c r="A34" s="18" t="s">
        <v>235</v>
      </c>
      <c r="B34" s="3">
        <v>95.62</v>
      </c>
      <c r="C34" s="18" t="s">
        <v>8</v>
      </c>
      <c r="D34" s="18" t="s">
        <v>14</v>
      </c>
      <c r="E34" s="8" t="s">
        <v>12</v>
      </c>
      <c r="F34" s="5">
        <v>45663</v>
      </c>
      <c r="G34" s="31" t="s">
        <v>301</v>
      </c>
      <c r="M34"/>
      <c r="N34"/>
    </row>
    <row r="35" spans="1:14" ht="15.75" customHeight="1" x14ac:dyDescent="0.25">
      <c r="A35" s="18" t="s">
        <v>234</v>
      </c>
      <c r="B35" s="3">
        <v>102.46</v>
      </c>
      <c r="C35" s="18" t="s">
        <v>8</v>
      </c>
      <c r="D35" s="18" t="s">
        <v>22</v>
      </c>
      <c r="E35" s="8" t="s">
        <v>12</v>
      </c>
      <c r="F35" s="5">
        <v>45663</v>
      </c>
      <c r="G35" s="31" t="s">
        <v>305</v>
      </c>
      <c r="M35"/>
      <c r="N35"/>
    </row>
    <row r="36" spans="1:14" ht="15.75" customHeight="1" x14ac:dyDescent="0.25">
      <c r="A36" s="18" t="s">
        <v>236</v>
      </c>
      <c r="B36" s="3">
        <v>68.8</v>
      </c>
      <c r="C36" s="18" t="s">
        <v>8</v>
      </c>
      <c r="D36" s="18" t="s">
        <v>22</v>
      </c>
      <c r="E36" s="8" t="s">
        <v>12</v>
      </c>
      <c r="F36" s="5">
        <v>45668</v>
      </c>
      <c r="G36" s="31" t="s">
        <v>296</v>
      </c>
      <c r="M36"/>
      <c r="N36"/>
    </row>
    <row r="37" spans="1:14" ht="15.75" customHeight="1" x14ac:dyDescent="0.25">
      <c r="A37" s="18" t="s">
        <v>237</v>
      </c>
      <c r="B37" s="3">
        <f>188.1/3</f>
        <v>62.699999999999996</v>
      </c>
      <c r="C37" s="18" t="s">
        <v>8</v>
      </c>
      <c r="D37" s="18" t="s">
        <v>14</v>
      </c>
      <c r="E37" s="8" t="s">
        <v>12</v>
      </c>
      <c r="F37" s="5">
        <v>45672</v>
      </c>
      <c r="G37" s="31" t="s">
        <v>305</v>
      </c>
      <c r="M37"/>
      <c r="N37"/>
    </row>
    <row r="38" spans="1:14" ht="15.75" customHeight="1" x14ac:dyDescent="0.25">
      <c r="A38" s="2" t="s">
        <v>238</v>
      </c>
      <c r="B38" s="3">
        <v>75</v>
      </c>
      <c r="C38" s="2" t="s">
        <v>8</v>
      </c>
      <c r="D38" s="2" t="s">
        <v>14</v>
      </c>
      <c r="E38" s="2" t="s">
        <v>12</v>
      </c>
      <c r="F38" s="5">
        <v>45674</v>
      </c>
      <c r="G38" s="31" t="s">
        <v>305</v>
      </c>
      <c r="M38"/>
      <c r="N38"/>
    </row>
    <row r="39" spans="1:14" ht="15.75" customHeight="1" x14ac:dyDescent="0.25">
      <c r="A39" s="2" t="s">
        <v>239</v>
      </c>
      <c r="B39" s="3">
        <v>40.58</v>
      </c>
      <c r="C39" s="2" t="s">
        <v>8</v>
      </c>
      <c r="D39" s="2" t="s">
        <v>22</v>
      </c>
      <c r="E39" s="2" t="s">
        <v>12</v>
      </c>
      <c r="F39" s="5">
        <v>45678</v>
      </c>
      <c r="G39" s="31" t="s">
        <v>305</v>
      </c>
      <c r="M39"/>
      <c r="N39"/>
    </row>
    <row r="40" spans="1:14" ht="15.75" customHeight="1" x14ac:dyDescent="0.25">
      <c r="A40" s="2" t="s">
        <v>240</v>
      </c>
      <c r="B40" s="3">
        <f>216/6</f>
        <v>36</v>
      </c>
      <c r="C40" s="2" t="s">
        <v>8</v>
      </c>
      <c r="D40" s="2" t="s">
        <v>22</v>
      </c>
      <c r="E40" s="2" t="s">
        <v>12</v>
      </c>
      <c r="F40" s="5">
        <v>45680</v>
      </c>
      <c r="G40" s="31" t="s">
        <v>331</v>
      </c>
      <c r="M40"/>
      <c r="N40"/>
    </row>
    <row r="41" spans="1:14" ht="15.75" customHeight="1" x14ac:dyDescent="0.25">
      <c r="A41" s="2" t="s">
        <v>241</v>
      </c>
      <c r="B41" s="3">
        <f>598.8/12</f>
        <v>49.9</v>
      </c>
      <c r="C41" s="2" t="s">
        <v>8</v>
      </c>
      <c r="D41" s="2" t="s">
        <v>20</v>
      </c>
      <c r="E41" s="2" t="s">
        <v>12</v>
      </c>
      <c r="F41" s="5">
        <v>45681</v>
      </c>
      <c r="G41" s="31" t="s">
        <v>296</v>
      </c>
      <c r="M41"/>
      <c r="N41"/>
    </row>
    <row r="42" spans="1:14" ht="15.75" customHeight="1" x14ac:dyDescent="0.25">
      <c r="A42" s="2" t="s">
        <v>242</v>
      </c>
      <c r="B42" s="3">
        <f>197.94/6</f>
        <v>32.99</v>
      </c>
      <c r="C42" s="2" t="s">
        <v>8</v>
      </c>
      <c r="D42" s="2" t="s">
        <v>11</v>
      </c>
      <c r="E42" s="8" t="s">
        <v>12</v>
      </c>
      <c r="F42" s="5">
        <v>45683</v>
      </c>
      <c r="G42" s="31" t="s">
        <v>331</v>
      </c>
      <c r="M42"/>
      <c r="N42"/>
    </row>
    <row r="43" spans="1:14" ht="15.75" customHeight="1" x14ac:dyDescent="0.25">
      <c r="A43" s="2" t="s">
        <v>243</v>
      </c>
      <c r="B43" s="3">
        <f>413.95/3</f>
        <v>137.98333333333332</v>
      </c>
      <c r="C43" s="2" t="s">
        <v>8</v>
      </c>
      <c r="D43" s="2" t="s">
        <v>22</v>
      </c>
      <c r="E43" s="8" t="s">
        <v>12</v>
      </c>
      <c r="F43" s="5">
        <v>45685</v>
      </c>
      <c r="G43" s="31" t="s">
        <v>305</v>
      </c>
      <c r="M43"/>
      <c r="N43"/>
    </row>
    <row r="44" spans="1:14" ht="15.75" customHeight="1" x14ac:dyDescent="0.25">
      <c r="A44" s="2" t="s">
        <v>244</v>
      </c>
      <c r="B44" s="3">
        <f>595/4</f>
        <v>148.75</v>
      </c>
      <c r="C44" s="2" t="s">
        <v>8</v>
      </c>
      <c r="D44" s="2" t="s">
        <v>14</v>
      </c>
      <c r="E44" s="8" t="s">
        <v>12</v>
      </c>
      <c r="F44" s="5">
        <v>45685</v>
      </c>
      <c r="G44" s="31" t="s">
        <v>301</v>
      </c>
      <c r="M44"/>
      <c r="N44"/>
    </row>
    <row r="45" spans="1:14" ht="15.75" customHeight="1" x14ac:dyDescent="0.25">
      <c r="A45" s="2" t="s">
        <v>245</v>
      </c>
      <c r="B45" s="3">
        <f>(145.67+64.44)/5</f>
        <v>42.021999999999998</v>
      </c>
      <c r="C45" s="2" t="s">
        <v>8</v>
      </c>
      <c r="D45" s="2" t="s">
        <v>14</v>
      </c>
      <c r="E45" s="8" t="s">
        <v>12</v>
      </c>
      <c r="F45" s="8">
        <v>45691</v>
      </c>
      <c r="G45" s="31" t="s">
        <v>307</v>
      </c>
      <c r="M45"/>
      <c r="N45"/>
    </row>
    <row r="46" spans="1:14" ht="15.75" customHeight="1" x14ac:dyDescent="0.25">
      <c r="A46" s="2" t="s">
        <v>246</v>
      </c>
      <c r="B46" s="3">
        <f>44.54*2/5</f>
        <v>17.815999999999999</v>
      </c>
      <c r="C46" s="2" t="s">
        <v>8</v>
      </c>
      <c r="D46" s="2" t="s">
        <v>22</v>
      </c>
      <c r="E46" s="8" t="s">
        <v>12</v>
      </c>
      <c r="F46" s="8">
        <v>45691</v>
      </c>
      <c r="G46" s="31" t="s">
        <v>307</v>
      </c>
      <c r="M46"/>
      <c r="N46"/>
    </row>
    <row r="47" spans="1:14" ht="15.75" customHeight="1" x14ac:dyDescent="0.25">
      <c r="A47" s="2" t="s">
        <v>247</v>
      </c>
      <c r="B47" s="3">
        <v>40.11</v>
      </c>
      <c r="C47" s="2" t="s">
        <v>8</v>
      </c>
      <c r="D47" s="2" t="s">
        <v>22</v>
      </c>
      <c r="E47" s="2" t="s">
        <v>12</v>
      </c>
      <c r="F47" s="8">
        <v>45698</v>
      </c>
      <c r="G47" s="31" t="s">
        <v>327</v>
      </c>
      <c r="M47"/>
      <c r="N47"/>
    </row>
    <row r="48" spans="1:14" ht="15.75" customHeight="1" x14ac:dyDescent="0.25">
      <c r="A48" s="2" t="s">
        <v>248</v>
      </c>
      <c r="B48" s="3">
        <v>42.66</v>
      </c>
      <c r="C48" s="2" t="s">
        <v>8</v>
      </c>
      <c r="D48" s="2" t="s">
        <v>11</v>
      </c>
      <c r="E48" s="2" t="s">
        <v>12</v>
      </c>
      <c r="F48" s="8">
        <v>45698</v>
      </c>
      <c r="G48" s="31" t="s">
        <v>332</v>
      </c>
      <c r="M48"/>
      <c r="N48"/>
    </row>
    <row r="49" spans="1:14" ht="15.75" customHeight="1" x14ac:dyDescent="0.25">
      <c r="A49" s="2" t="s">
        <v>249</v>
      </c>
      <c r="B49" s="3">
        <v>11.87</v>
      </c>
      <c r="C49" s="2" t="s">
        <v>8</v>
      </c>
      <c r="D49" s="2" t="s">
        <v>11</v>
      </c>
      <c r="E49" s="2" t="s">
        <v>17</v>
      </c>
      <c r="F49" s="8">
        <v>45699</v>
      </c>
      <c r="G49" s="31" t="s">
        <v>307</v>
      </c>
      <c r="M49"/>
      <c r="N49"/>
    </row>
    <row r="50" spans="1:14" ht="15.75" customHeight="1" x14ac:dyDescent="0.25">
      <c r="A50" s="2" t="s">
        <v>250</v>
      </c>
      <c r="B50" s="3">
        <f>199/6</f>
        <v>33.166666666666664</v>
      </c>
      <c r="C50" s="2" t="s">
        <v>8</v>
      </c>
      <c r="D50" s="2" t="s">
        <v>114</v>
      </c>
      <c r="E50" s="2" t="s">
        <v>12</v>
      </c>
      <c r="F50" s="8">
        <v>45701</v>
      </c>
      <c r="G50" s="31" t="s">
        <v>332</v>
      </c>
      <c r="M50"/>
      <c r="N50"/>
    </row>
    <row r="51" spans="1:14" ht="15.75" customHeight="1" x14ac:dyDescent="0.25">
      <c r="A51" s="2" t="s">
        <v>251</v>
      </c>
      <c r="B51" s="3">
        <f>29.4/5</f>
        <v>5.88</v>
      </c>
      <c r="C51" s="2" t="s">
        <v>8</v>
      </c>
      <c r="D51" s="2" t="s">
        <v>11</v>
      </c>
      <c r="E51" s="2" t="s">
        <v>17</v>
      </c>
      <c r="F51" s="8">
        <v>45705</v>
      </c>
      <c r="G51" s="31" t="s">
        <v>307</v>
      </c>
      <c r="M51"/>
      <c r="N51"/>
    </row>
    <row r="52" spans="1:14" ht="15.75" customHeight="1" x14ac:dyDescent="0.25">
      <c r="A52" s="2" t="s">
        <v>252</v>
      </c>
      <c r="B52" s="3">
        <f>247.5/2</f>
        <v>123.75</v>
      </c>
      <c r="C52" s="2" t="s">
        <v>8</v>
      </c>
      <c r="D52" s="2" t="s">
        <v>14</v>
      </c>
      <c r="E52" s="2" t="s">
        <v>12</v>
      </c>
      <c r="F52" s="8">
        <v>45705</v>
      </c>
      <c r="G52" s="31" t="s">
        <v>327</v>
      </c>
      <c r="M52"/>
      <c r="N52"/>
    </row>
    <row r="53" spans="1:14" ht="15.75" customHeight="1" x14ac:dyDescent="0.25">
      <c r="A53" s="2" t="s">
        <v>253</v>
      </c>
      <c r="B53" s="3">
        <v>116.33</v>
      </c>
      <c r="C53" s="2" t="s">
        <v>8</v>
      </c>
      <c r="D53" s="2" t="s">
        <v>11</v>
      </c>
      <c r="E53" s="2" t="s">
        <v>12</v>
      </c>
      <c r="F53" s="8">
        <v>45710</v>
      </c>
      <c r="G53" s="31" t="s">
        <v>332</v>
      </c>
      <c r="M53"/>
      <c r="N53"/>
    </row>
    <row r="54" spans="1:14" ht="15.75" customHeight="1" x14ac:dyDescent="0.25">
      <c r="A54" s="2" t="s">
        <v>254</v>
      </c>
      <c r="B54" s="3">
        <v>84.95</v>
      </c>
      <c r="C54" s="2" t="s">
        <v>8</v>
      </c>
      <c r="D54" s="2" t="s">
        <v>22</v>
      </c>
      <c r="E54" s="2" t="s">
        <v>12</v>
      </c>
      <c r="F54" s="8">
        <v>45710</v>
      </c>
      <c r="G54" s="31" t="s">
        <v>327</v>
      </c>
      <c r="M54"/>
      <c r="N54"/>
    </row>
    <row r="55" spans="1:14" ht="15.75" customHeight="1" x14ac:dyDescent="0.25">
      <c r="A55" s="17" t="s">
        <v>280</v>
      </c>
      <c r="B55" s="23">
        <v>20</v>
      </c>
      <c r="C55" s="18" t="s">
        <v>8</v>
      </c>
      <c r="D55" s="18" t="s">
        <v>16</v>
      </c>
      <c r="E55" s="17" t="s">
        <v>12</v>
      </c>
      <c r="F55" s="26">
        <v>45717</v>
      </c>
      <c r="G55" s="27" t="s">
        <v>293</v>
      </c>
      <c r="M55"/>
      <c r="N55"/>
    </row>
    <row r="56" spans="1:14" ht="15.75" customHeight="1" x14ac:dyDescent="0.25">
      <c r="A56" s="17" t="s">
        <v>281</v>
      </c>
      <c r="B56" s="23">
        <v>58.41</v>
      </c>
      <c r="C56" s="18" t="s">
        <v>8</v>
      </c>
      <c r="D56" s="18" t="s">
        <v>36</v>
      </c>
      <c r="E56" s="17" t="s">
        <v>12</v>
      </c>
      <c r="F56" s="26">
        <v>45717</v>
      </c>
      <c r="G56" s="27" t="s">
        <v>293</v>
      </c>
      <c r="M56"/>
      <c r="N56"/>
    </row>
    <row r="57" spans="1:14" ht="15.75" customHeight="1" x14ac:dyDescent="0.25">
      <c r="A57" s="17" t="s">
        <v>188</v>
      </c>
      <c r="B57" s="23">
        <v>91.98</v>
      </c>
      <c r="C57" s="18" t="s">
        <v>8</v>
      </c>
      <c r="D57" s="18" t="s">
        <v>16</v>
      </c>
      <c r="E57" s="17" t="s">
        <v>12</v>
      </c>
      <c r="F57" s="26">
        <v>45718</v>
      </c>
      <c r="G57" s="27" t="s">
        <v>293</v>
      </c>
      <c r="M57"/>
      <c r="N57"/>
    </row>
    <row r="58" spans="1:14" ht="15.75" customHeight="1" x14ac:dyDescent="0.25">
      <c r="A58" s="17" t="s">
        <v>282</v>
      </c>
      <c r="B58" s="23">
        <v>39.134999999999998</v>
      </c>
      <c r="C58" s="18" t="s">
        <v>8</v>
      </c>
      <c r="D58" s="18" t="s">
        <v>22</v>
      </c>
      <c r="E58" s="17" t="s">
        <v>12</v>
      </c>
      <c r="F58" s="26">
        <v>45718</v>
      </c>
      <c r="G58" s="27" t="s">
        <v>294</v>
      </c>
      <c r="M58"/>
      <c r="N58"/>
    </row>
    <row r="59" spans="1:14" ht="15.75" customHeight="1" x14ac:dyDescent="0.25">
      <c r="A59" s="17" t="s">
        <v>283</v>
      </c>
      <c r="B59" s="23">
        <v>54.02</v>
      </c>
      <c r="C59" s="18" t="s">
        <v>8</v>
      </c>
      <c r="D59" s="18" t="s">
        <v>14</v>
      </c>
      <c r="E59" s="17" t="s">
        <v>12</v>
      </c>
      <c r="F59" s="26">
        <v>45719</v>
      </c>
      <c r="G59" s="27" t="s">
        <v>293</v>
      </c>
      <c r="M59"/>
      <c r="N59"/>
    </row>
    <row r="60" spans="1:14" ht="15.75" customHeight="1" x14ac:dyDescent="0.25">
      <c r="A60" s="17" t="s">
        <v>284</v>
      </c>
      <c r="B60" s="23">
        <v>173.72499999999999</v>
      </c>
      <c r="C60" s="18" t="s">
        <v>8</v>
      </c>
      <c r="D60" s="18" t="s">
        <v>14</v>
      </c>
      <c r="E60" s="17" t="s">
        <v>12</v>
      </c>
      <c r="F60" s="26">
        <v>45719</v>
      </c>
      <c r="G60" s="27" t="s">
        <v>299</v>
      </c>
      <c r="M60"/>
      <c r="N60"/>
    </row>
    <row r="61" spans="1:14" ht="15.75" customHeight="1" x14ac:dyDescent="0.25">
      <c r="A61" s="17" t="s">
        <v>285</v>
      </c>
      <c r="B61" s="23">
        <v>73.8</v>
      </c>
      <c r="C61" s="18" t="s">
        <v>8</v>
      </c>
      <c r="D61" s="18" t="s">
        <v>36</v>
      </c>
      <c r="E61" s="17" t="s">
        <v>12</v>
      </c>
      <c r="F61" s="26">
        <v>45719</v>
      </c>
      <c r="G61" s="27" t="s">
        <v>293</v>
      </c>
      <c r="M61"/>
      <c r="N61"/>
    </row>
    <row r="62" spans="1:14" ht="15.75" customHeight="1" x14ac:dyDescent="0.25">
      <c r="A62" s="17" t="s">
        <v>188</v>
      </c>
      <c r="B62" s="23">
        <v>49.11</v>
      </c>
      <c r="C62" s="18" t="s">
        <v>8</v>
      </c>
      <c r="D62" s="18" t="s">
        <v>16</v>
      </c>
      <c r="E62" s="17" t="s">
        <v>12</v>
      </c>
      <c r="F62" s="26">
        <v>45719</v>
      </c>
      <c r="G62" s="27" t="s">
        <v>293</v>
      </c>
      <c r="M62"/>
      <c r="N62"/>
    </row>
    <row r="63" spans="1:14" ht="15.75" customHeight="1" x14ac:dyDescent="0.25">
      <c r="A63" s="17" t="s">
        <v>286</v>
      </c>
      <c r="B63" s="23">
        <v>86.833333333333329</v>
      </c>
      <c r="C63" s="18" t="s">
        <v>8</v>
      </c>
      <c r="D63" s="18" t="s">
        <v>14</v>
      </c>
      <c r="E63" s="17" t="s">
        <v>12</v>
      </c>
      <c r="F63" s="26">
        <v>45719</v>
      </c>
      <c r="G63" s="27" t="s">
        <v>303</v>
      </c>
      <c r="M63"/>
      <c r="N63"/>
    </row>
    <row r="64" spans="1:14" ht="15.75" customHeight="1" x14ac:dyDescent="0.25">
      <c r="A64" s="17" t="s">
        <v>287</v>
      </c>
      <c r="B64" s="23">
        <v>57.179999999999993</v>
      </c>
      <c r="C64" s="18" t="s">
        <v>8</v>
      </c>
      <c r="D64" s="18" t="s">
        <v>22</v>
      </c>
      <c r="E64" s="17" t="s">
        <v>12</v>
      </c>
      <c r="F64" s="26">
        <v>45719</v>
      </c>
      <c r="G64" s="27" t="s">
        <v>306</v>
      </c>
      <c r="M64"/>
      <c r="N64"/>
    </row>
    <row r="65" spans="1:14" ht="15.75" customHeight="1" x14ac:dyDescent="0.25">
      <c r="A65" s="17" t="s">
        <v>288</v>
      </c>
      <c r="B65" s="23">
        <v>51.137500000000003</v>
      </c>
      <c r="C65" s="18" t="s">
        <v>8</v>
      </c>
      <c r="D65" s="18" t="s">
        <v>11</v>
      </c>
      <c r="E65" s="17" t="s">
        <v>12</v>
      </c>
      <c r="F65" s="26">
        <v>45719</v>
      </c>
      <c r="G65" s="27" t="s">
        <v>299</v>
      </c>
      <c r="M65"/>
      <c r="N65"/>
    </row>
    <row r="66" spans="1:14" ht="15.75" customHeight="1" x14ac:dyDescent="0.25">
      <c r="A66" s="17" t="s">
        <v>15</v>
      </c>
      <c r="B66" s="23">
        <v>39.96</v>
      </c>
      <c r="C66" s="18" t="s">
        <v>8</v>
      </c>
      <c r="D66" s="18" t="s">
        <v>16</v>
      </c>
      <c r="E66" s="17" t="s">
        <v>12</v>
      </c>
      <c r="F66" s="26">
        <v>45720</v>
      </c>
      <c r="G66" s="27" t="s">
        <v>293</v>
      </c>
      <c r="M66"/>
      <c r="N66"/>
    </row>
    <row r="67" spans="1:14" ht="15.75" customHeight="1" x14ac:dyDescent="0.25">
      <c r="A67" s="17" t="s">
        <v>289</v>
      </c>
      <c r="B67" s="23">
        <v>332</v>
      </c>
      <c r="C67" s="18" t="s">
        <v>8</v>
      </c>
      <c r="D67" s="18" t="s">
        <v>36</v>
      </c>
      <c r="E67" s="17" t="s">
        <v>12</v>
      </c>
      <c r="F67" s="26">
        <v>45720</v>
      </c>
      <c r="G67" s="27" t="s">
        <v>293</v>
      </c>
      <c r="M67"/>
      <c r="N67"/>
    </row>
    <row r="68" spans="1:14" ht="15.75" customHeight="1" x14ac:dyDescent="0.25">
      <c r="A68" s="17" t="s">
        <v>289</v>
      </c>
      <c r="B68" s="23">
        <v>18</v>
      </c>
      <c r="C68" s="18" t="s">
        <v>8</v>
      </c>
      <c r="D68" s="18" t="s">
        <v>36</v>
      </c>
      <c r="E68" s="17" t="s">
        <v>12</v>
      </c>
      <c r="F68" s="26">
        <v>45720</v>
      </c>
      <c r="G68" s="27" t="s">
        <v>293</v>
      </c>
      <c r="M68"/>
      <c r="N68"/>
    </row>
    <row r="69" spans="1:14" ht="15.75" customHeight="1" x14ac:dyDescent="0.25">
      <c r="A69" s="17" t="s">
        <v>290</v>
      </c>
      <c r="B69" s="23">
        <v>52.99</v>
      </c>
      <c r="C69" s="18" t="s">
        <v>8</v>
      </c>
      <c r="D69" s="18" t="s">
        <v>61</v>
      </c>
      <c r="E69" s="17" t="s">
        <v>12</v>
      </c>
      <c r="F69" s="26">
        <v>45721</v>
      </c>
      <c r="G69" s="27" t="s">
        <v>299</v>
      </c>
      <c r="M69"/>
      <c r="N69"/>
    </row>
    <row r="70" spans="1:14" ht="15.75" customHeight="1" x14ac:dyDescent="0.25">
      <c r="A70" s="17" t="s">
        <v>291</v>
      </c>
      <c r="B70" s="23">
        <v>650</v>
      </c>
      <c r="C70" s="18" t="s">
        <v>8</v>
      </c>
      <c r="D70" s="18" t="s">
        <v>26</v>
      </c>
      <c r="E70" s="17" t="s">
        <v>17</v>
      </c>
      <c r="F70" s="26">
        <v>45717</v>
      </c>
      <c r="G70" s="27" t="s">
        <v>293</v>
      </c>
      <c r="M70"/>
      <c r="N70"/>
    </row>
    <row r="71" spans="1:14" ht="15.75" customHeight="1" x14ac:dyDescent="0.25">
      <c r="A71" s="17" t="s">
        <v>120</v>
      </c>
      <c r="B71" s="23">
        <v>14.3</v>
      </c>
      <c r="C71" s="18" t="s">
        <v>8</v>
      </c>
      <c r="D71" s="18" t="s">
        <v>31</v>
      </c>
      <c r="E71" s="17" t="s">
        <v>12</v>
      </c>
      <c r="F71" s="26">
        <v>45717</v>
      </c>
      <c r="G71" s="27" t="s">
        <v>293</v>
      </c>
      <c r="M71"/>
      <c r="N71"/>
    </row>
    <row r="72" spans="1:14" ht="15.75" customHeight="1" x14ac:dyDescent="0.25">
      <c r="A72" s="17" t="s">
        <v>120</v>
      </c>
      <c r="B72" s="23">
        <v>15</v>
      </c>
      <c r="C72" s="18" t="s">
        <v>8</v>
      </c>
      <c r="D72" s="18" t="s">
        <v>31</v>
      </c>
      <c r="E72" s="17" t="s">
        <v>12</v>
      </c>
      <c r="F72" s="26">
        <v>45717</v>
      </c>
      <c r="G72" s="27" t="s">
        <v>293</v>
      </c>
      <c r="M72"/>
      <c r="N72"/>
    </row>
    <row r="73" spans="1:14" ht="15.75" customHeight="1" x14ac:dyDescent="0.25">
      <c r="A73" s="17" t="s">
        <v>292</v>
      </c>
      <c r="B73" s="23">
        <v>173</v>
      </c>
      <c r="C73" s="18" t="s">
        <v>8</v>
      </c>
      <c r="D73" s="18" t="s">
        <v>22</v>
      </c>
      <c r="E73" s="17" t="s">
        <v>17</v>
      </c>
      <c r="F73" s="26">
        <v>45717</v>
      </c>
      <c r="G73" s="27" t="s">
        <v>293</v>
      </c>
      <c r="M73"/>
      <c r="N73"/>
    </row>
    <row r="74" spans="1:14" ht="15.75" customHeight="1" x14ac:dyDescent="0.25">
      <c r="A74" s="17" t="s">
        <v>25</v>
      </c>
      <c r="B74" s="23">
        <v>35</v>
      </c>
      <c r="C74" s="18" t="s">
        <v>8</v>
      </c>
      <c r="D74" s="18" t="s">
        <v>26</v>
      </c>
      <c r="E74" s="17" t="s">
        <v>17</v>
      </c>
      <c r="F74" s="26">
        <v>45720</v>
      </c>
      <c r="G74" s="27" t="s">
        <v>293</v>
      </c>
      <c r="M74"/>
      <c r="N74"/>
    </row>
    <row r="75" spans="1:14" ht="15.75" customHeight="1" x14ac:dyDescent="0.25">
      <c r="A75" s="17" t="s">
        <v>120</v>
      </c>
      <c r="B75" s="34">
        <v>9.1</v>
      </c>
      <c r="C75" s="18" t="s">
        <v>8</v>
      </c>
      <c r="D75" s="18" t="s">
        <v>31</v>
      </c>
      <c r="E75" s="17" t="s">
        <v>12</v>
      </c>
      <c r="F75" s="26">
        <v>45721</v>
      </c>
      <c r="G75" s="27" t="s">
        <v>293</v>
      </c>
      <c r="M75"/>
      <c r="N75"/>
    </row>
    <row r="76" spans="1:14" ht="15.75" customHeight="1" x14ac:dyDescent="0.25">
      <c r="A76" s="17" t="s">
        <v>120</v>
      </c>
      <c r="B76" s="34">
        <v>7.9</v>
      </c>
      <c r="C76" s="18" t="s">
        <v>8</v>
      </c>
      <c r="D76" s="18" t="s">
        <v>31</v>
      </c>
      <c r="E76" s="17" t="s">
        <v>12</v>
      </c>
      <c r="F76" s="26">
        <v>45721</v>
      </c>
      <c r="G76" s="27" t="s">
        <v>293</v>
      </c>
      <c r="M76"/>
      <c r="N76"/>
    </row>
    <row r="77" spans="1:14" ht="15.75" customHeight="1" x14ac:dyDescent="0.25">
      <c r="A77" s="17" t="s">
        <v>120</v>
      </c>
      <c r="B77" s="36">
        <v>18.600000000000001</v>
      </c>
      <c r="C77" s="18" t="s">
        <v>8</v>
      </c>
      <c r="D77" s="18" t="s">
        <v>31</v>
      </c>
      <c r="E77" s="17" t="s">
        <v>12</v>
      </c>
      <c r="F77" s="26">
        <v>45721</v>
      </c>
      <c r="G77" s="27" t="s">
        <v>293</v>
      </c>
      <c r="M77"/>
      <c r="N77"/>
    </row>
    <row r="78" spans="1:14" ht="15.75" customHeight="1" x14ac:dyDescent="0.25">
      <c r="A78" s="17" t="s">
        <v>371</v>
      </c>
      <c r="B78" s="36">
        <v>26.83</v>
      </c>
      <c r="C78" s="18" t="s">
        <v>8</v>
      </c>
      <c r="D78" s="18" t="s">
        <v>14</v>
      </c>
      <c r="E78" s="17" t="s">
        <v>12</v>
      </c>
      <c r="F78" s="26">
        <v>45721</v>
      </c>
      <c r="G78" s="27" t="s">
        <v>293</v>
      </c>
      <c r="M78"/>
      <c r="N78"/>
    </row>
    <row r="79" spans="1:14" ht="15.75" customHeight="1" x14ac:dyDescent="0.25">
      <c r="A79" s="17" t="s">
        <v>15</v>
      </c>
      <c r="B79" s="36">
        <v>19.989999999999998</v>
      </c>
      <c r="C79" s="18" t="s">
        <v>8</v>
      </c>
      <c r="D79" s="18" t="s">
        <v>16</v>
      </c>
      <c r="E79" s="17" t="s">
        <v>17</v>
      </c>
      <c r="F79" s="26">
        <v>45721</v>
      </c>
      <c r="G79" s="27" t="s">
        <v>293</v>
      </c>
      <c r="M79"/>
      <c r="N79"/>
    </row>
    <row r="80" spans="1:14" ht="15.75" customHeight="1" x14ac:dyDescent="0.25">
      <c r="A80" s="17" t="s">
        <v>373</v>
      </c>
      <c r="B80" s="37">
        <v>5</v>
      </c>
      <c r="C80" s="18" t="s">
        <v>8</v>
      </c>
      <c r="D80" s="18" t="s">
        <v>63</v>
      </c>
      <c r="E80" s="17" t="s">
        <v>12</v>
      </c>
      <c r="F80" s="26">
        <v>45722</v>
      </c>
      <c r="G80" s="27" t="s">
        <v>293</v>
      </c>
      <c r="M80"/>
      <c r="N80"/>
    </row>
    <row r="81" spans="1:14" ht="15.75" customHeight="1" x14ac:dyDescent="0.25">
      <c r="A81" s="17" t="s">
        <v>120</v>
      </c>
      <c r="B81" s="37">
        <v>15.7</v>
      </c>
      <c r="C81" s="18" t="s">
        <v>8</v>
      </c>
      <c r="D81" s="18" t="s">
        <v>31</v>
      </c>
      <c r="E81" s="17" t="s">
        <v>12</v>
      </c>
      <c r="F81" s="26">
        <v>45722</v>
      </c>
      <c r="G81" s="27" t="s">
        <v>293</v>
      </c>
      <c r="M81"/>
      <c r="N81"/>
    </row>
    <row r="82" spans="1:14" ht="15.75" customHeight="1" x14ac:dyDescent="0.25">
      <c r="A82" s="17" t="s">
        <v>120</v>
      </c>
      <c r="B82" s="37">
        <v>11.8</v>
      </c>
      <c r="C82" s="18" t="s">
        <v>8</v>
      </c>
      <c r="D82" s="18" t="s">
        <v>31</v>
      </c>
      <c r="E82" s="17" t="s">
        <v>12</v>
      </c>
      <c r="F82" s="26">
        <v>45722</v>
      </c>
      <c r="G82" s="27" t="s">
        <v>293</v>
      </c>
      <c r="M82"/>
      <c r="N82"/>
    </row>
    <row r="83" spans="1:14" ht="15.75" customHeight="1" x14ac:dyDescent="0.25">
      <c r="A83" s="17" t="s">
        <v>374</v>
      </c>
      <c r="B83" s="37">
        <v>20</v>
      </c>
      <c r="C83" s="18" t="s">
        <v>8</v>
      </c>
      <c r="D83" s="18" t="s">
        <v>16</v>
      </c>
      <c r="E83" s="17" t="s">
        <v>12</v>
      </c>
      <c r="F83" s="26">
        <v>45722</v>
      </c>
      <c r="G83" s="27" t="s">
        <v>293</v>
      </c>
      <c r="M83"/>
      <c r="N83"/>
    </row>
    <row r="84" spans="1:14" ht="15.75" customHeight="1" x14ac:dyDescent="0.25">
      <c r="A84" s="17" t="s">
        <v>25</v>
      </c>
      <c r="B84" s="37">
        <v>40</v>
      </c>
      <c r="C84" s="18" t="s">
        <v>8</v>
      </c>
      <c r="D84" s="18" t="s">
        <v>26</v>
      </c>
      <c r="E84" s="17" t="s">
        <v>12</v>
      </c>
      <c r="F84" s="26">
        <v>45722</v>
      </c>
      <c r="G84" s="27" t="s">
        <v>293</v>
      </c>
      <c r="M84"/>
      <c r="N84"/>
    </row>
    <row r="85" spans="1:14" ht="15.75" customHeight="1" x14ac:dyDescent="0.25">
      <c r="A85" s="17" t="s">
        <v>175</v>
      </c>
      <c r="B85" s="39">
        <v>172</v>
      </c>
      <c r="C85" s="18" t="s">
        <v>8</v>
      </c>
      <c r="D85" s="18" t="s">
        <v>22</v>
      </c>
      <c r="E85" s="17" t="s">
        <v>17</v>
      </c>
      <c r="F85" s="26">
        <v>45724</v>
      </c>
      <c r="G85" s="27" t="s">
        <v>293</v>
      </c>
      <c r="M85"/>
      <c r="N85"/>
    </row>
    <row r="86" spans="1:14" ht="15.75" customHeight="1" x14ac:dyDescent="0.25">
      <c r="A86" s="17" t="s">
        <v>377</v>
      </c>
      <c r="B86" s="39">
        <v>28.99</v>
      </c>
      <c r="C86" s="18" t="s">
        <v>8</v>
      </c>
      <c r="D86" s="18" t="s">
        <v>11</v>
      </c>
      <c r="E86" s="17" t="s">
        <v>17</v>
      </c>
      <c r="F86" s="26">
        <v>45723</v>
      </c>
      <c r="G86" s="27" t="s">
        <v>293</v>
      </c>
      <c r="M86"/>
      <c r="N86"/>
    </row>
    <row r="87" spans="1:14" ht="15.75" customHeight="1" x14ac:dyDescent="0.25">
      <c r="A87" s="17" t="s">
        <v>375</v>
      </c>
      <c r="B87" s="39">
        <v>131.80000000000001</v>
      </c>
      <c r="C87" s="18" t="s">
        <v>8</v>
      </c>
      <c r="D87" s="18" t="s">
        <v>36</v>
      </c>
      <c r="E87" s="17" t="s">
        <v>17</v>
      </c>
      <c r="F87" s="26">
        <v>45723</v>
      </c>
      <c r="G87" s="27" t="s">
        <v>293</v>
      </c>
      <c r="M87"/>
      <c r="N87"/>
    </row>
    <row r="88" spans="1:14" ht="15.75" customHeight="1" x14ac:dyDescent="0.25">
      <c r="A88" s="17" t="s">
        <v>376</v>
      </c>
      <c r="B88" s="39">
        <v>75.900000000000006</v>
      </c>
      <c r="C88" s="18" t="s">
        <v>8</v>
      </c>
      <c r="D88" s="18" t="s">
        <v>36</v>
      </c>
      <c r="E88" s="41" t="s">
        <v>12</v>
      </c>
      <c r="F88" s="26">
        <v>45723</v>
      </c>
      <c r="G88" s="27" t="s">
        <v>293</v>
      </c>
      <c r="M88"/>
      <c r="N88"/>
    </row>
    <row r="89" spans="1:14" ht="15.75" customHeight="1" x14ac:dyDescent="0.25">
      <c r="A89" s="17" t="s">
        <v>120</v>
      </c>
      <c r="B89" s="39">
        <v>33.96</v>
      </c>
      <c r="C89" s="18" t="s">
        <v>8</v>
      </c>
      <c r="D89" s="18" t="s">
        <v>31</v>
      </c>
      <c r="E89" s="17" t="s">
        <v>17</v>
      </c>
      <c r="F89" s="26">
        <v>45725</v>
      </c>
      <c r="G89" s="27" t="s">
        <v>293</v>
      </c>
      <c r="M89"/>
      <c r="N89"/>
    </row>
    <row r="90" spans="1:14" ht="15.75" customHeight="1" x14ac:dyDescent="0.25">
      <c r="A90" s="17" t="s">
        <v>120</v>
      </c>
      <c r="B90" s="39">
        <v>37.96</v>
      </c>
      <c r="C90" s="18" t="s">
        <v>8</v>
      </c>
      <c r="D90" s="18" t="s">
        <v>31</v>
      </c>
      <c r="E90" s="17" t="s">
        <v>12</v>
      </c>
      <c r="F90" s="26">
        <v>45725</v>
      </c>
      <c r="G90" s="27" t="s">
        <v>293</v>
      </c>
      <c r="M90"/>
      <c r="N90"/>
    </row>
    <row r="91" spans="1:14" ht="15.75" customHeight="1" x14ac:dyDescent="0.25">
      <c r="A91" s="17" t="s">
        <v>378</v>
      </c>
      <c r="B91" s="39">
        <v>18</v>
      </c>
      <c r="C91" s="18" t="s">
        <v>8</v>
      </c>
      <c r="D91" s="18" t="s">
        <v>31</v>
      </c>
      <c r="E91" s="17" t="s">
        <v>12</v>
      </c>
      <c r="F91" s="26">
        <v>45724</v>
      </c>
      <c r="G91" s="27" t="s">
        <v>293</v>
      </c>
      <c r="M91"/>
      <c r="N91"/>
    </row>
    <row r="92" spans="1:14" ht="15.75" customHeight="1" x14ac:dyDescent="0.25">
      <c r="A92" s="17" t="s">
        <v>175</v>
      </c>
      <c r="B92" s="40">
        <v>80</v>
      </c>
      <c r="C92" s="18" t="s">
        <v>8</v>
      </c>
      <c r="D92" s="18" t="s">
        <v>22</v>
      </c>
      <c r="E92" s="17" t="s">
        <v>17</v>
      </c>
      <c r="F92" s="26">
        <v>45726</v>
      </c>
      <c r="G92" s="27" t="s">
        <v>293</v>
      </c>
      <c r="M92"/>
      <c r="N92"/>
    </row>
    <row r="93" spans="1:14" ht="15.75" customHeight="1" x14ac:dyDescent="0.25">
      <c r="A93" s="17" t="s">
        <v>120</v>
      </c>
      <c r="B93" s="40">
        <v>20.12</v>
      </c>
      <c r="C93" s="18" t="s">
        <v>8</v>
      </c>
      <c r="D93" s="18" t="s">
        <v>31</v>
      </c>
      <c r="E93" s="17" t="s">
        <v>12</v>
      </c>
      <c r="F93" s="26">
        <v>45726</v>
      </c>
      <c r="G93" s="27" t="s">
        <v>293</v>
      </c>
      <c r="M93"/>
      <c r="N93"/>
    </row>
    <row r="94" spans="1:14" ht="15.75" customHeight="1" x14ac:dyDescent="0.25">
      <c r="A94" s="17" t="s">
        <v>379</v>
      </c>
      <c r="B94" s="42">
        <v>105.8</v>
      </c>
      <c r="C94" s="18" t="s">
        <v>8</v>
      </c>
      <c r="D94" s="18" t="s">
        <v>22</v>
      </c>
      <c r="E94" s="17" t="s">
        <v>12</v>
      </c>
      <c r="F94" s="26">
        <v>45727</v>
      </c>
      <c r="G94" s="27" t="s">
        <v>293</v>
      </c>
      <c r="M94"/>
      <c r="N94"/>
    </row>
    <row r="95" spans="1:14" ht="15.75" customHeight="1" x14ac:dyDescent="0.25">
      <c r="A95" s="17" t="s">
        <v>374</v>
      </c>
      <c r="B95" s="42">
        <v>20</v>
      </c>
      <c r="C95" s="18" t="s">
        <v>8</v>
      </c>
      <c r="D95" s="18" t="s">
        <v>16</v>
      </c>
      <c r="E95" s="17" t="s">
        <v>12</v>
      </c>
      <c r="F95" s="26">
        <v>45727</v>
      </c>
      <c r="G95" s="27" t="s">
        <v>293</v>
      </c>
      <c r="M95"/>
      <c r="N95"/>
    </row>
    <row r="96" spans="1:14" ht="15.75" customHeight="1" x14ac:dyDescent="0.25">
      <c r="A96" s="17" t="s">
        <v>380</v>
      </c>
      <c r="B96" s="43">
        <v>71.06</v>
      </c>
      <c r="C96" s="18" t="s">
        <v>8</v>
      </c>
      <c r="D96" s="18" t="s">
        <v>68</v>
      </c>
      <c r="E96" s="17" t="s">
        <v>12</v>
      </c>
      <c r="F96" s="26">
        <v>45729</v>
      </c>
      <c r="G96" s="27" t="s">
        <v>293</v>
      </c>
      <c r="M96"/>
      <c r="N96"/>
    </row>
    <row r="97" spans="1:14" ht="15.75" customHeight="1" x14ac:dyDescent="0.25">
      <c r="A97" s="46" t="s">
        <v>163</v>
      </c>
      <c r="B97" s="43">
        <v>69.900000000000006</v>
      </c>
      <c r="C97" s="18" t="s">
        <v>8</v>
      </c>
      <c r="D97" s="18" t="s">
        <v>22</v>
      </c>
      <c r="E97" s="17" t="s">
        <v>17</v>
      </c>
      <c r="F97" s="26">
        <v>45729</v>
      </c>
      <c r="G97" s="27" t="s">
        <v>293</v>
      </c>
      <c r="M97"/>
      <c r="N97"/>
    </row>
    <row r="98" spans="1:14" ht="15.75" customHeight="1" x14ac:dyDescent="0.25">
      <c r="A98" s="17" t="s">
        <v>120</v>
      </c>
      <c r="B98" s="44">
        <v>9.7100000000000009</v>
      </c>
      <c r="C98" s="18" t="s">
        <v>8</v>
      </c>
      <c r="D98" s="18" t="s">
        <v>31</v>
      </c>
      <c r="E98" s="17" t="s">
        <v>12</v>
      </c>
      <c r="F98" s="26">
        <v>45730</v>
      </c>
      <c r="G98" s="27" t="s">
        <v>293</v>
      </c>
      <c r="M98"/>
      <c r="N98"/>
    </row>
    <row r="99" spans="1:14" ht="15.75" customHeight="1" x14ac:dyDescent="0.25">
      <c r="A99" s="17" t="s">
        <v>120</v>
      </c>
      <c r="B99" s="44">
        <v>15.7</v>
      </c>
      <c r="C99" s="18" t="s">
        <v>8</v>
      </c>
      <c r="D99" s="18" t="s">
        <v>31</v>
      </c>
      <c r="E99" s="17" t="s">
        <v>12</v>
      </c>
      <c r="F99" s="26">
        <v>45731</v>
      </c>
      <c r="G99" s="27" t="s">
        <v>293</v>
      </c>
      <c r="M99"/>
      <c r="N99"/>
    </row>
    <row r="100" spans="1:14" ht="15.75" customHeight="1" x14ac:dyDescent="0.25">
      <c r="A100" s="17" t="s">
        <v>120</v>
      </c>
      <c r="B100" s="44">
        <v>21.7</v>
      </c>
      <c r="C100" s="18" t="s">
        <v>8</v>
      </c>
      <c r="D100" s="18" t="s">
        <v>31</v>
      </c>
      <c r="E100" s="17" t="s">
        <v>12</v>
      </c>
      <c r="F100" s="26">
        <v>45731</v>
      </c>
      <c r="G100" s="27" t="s">
        <v>293</v>
      </c>
      <c r="M100"/>
      <c r="N100"/>
    </row>
    <row r="101" spans="1:14" ht="15.75" customHeight="1" x14ac:dyDescent="0.25">
      <c r="A101" s="17" t="s">
        <v>381</v>
      </c>
      <c r="B101" s="44">
        <v>84</v>
      </c>
      <c r="C101" s="18" t="s">
        <v>8</v>
      </c>
      <c r="D101" s="18" t="s">
        <v>26</v>
      </c>
      <c r="E101" s="17" t="s">
        <v>17</v>
      </c>
      <c r="F101" s="26">
        <v>45731</v>
      </c>
      <c r="G101" s="27" t="s">
        <v>293</v>
      </c>
      <c r="M101"/>
      <c r="N101"/>
    </row>
    <row r="102" spans="1:14" ht="15.75" customHeight="1" x14ac:dyDescent="0.25">
      <c r="A102" s="17" t="s">
        <v>382</v>
      </c>
      <c r="B102" s="44">
        <v>92</v>
      </c>
      <c r="C102" s="18" t="s">
        <v>8</v>
      </c>
      <c r="D102" s="18" t="s">
        <v>22</v>
      </c>
      <c r="E102" s="17" t="s">
        <v>17</v>
      </c>
      <c r="F102" s="26">
        <v>45731</v>
      </c>
      <c r="G102" s="27" t="s">
        <v>293</v>
      </c>
      <c r="M102"/>
      <c r="N102"/>
    </row>
    <row r="103" spans="1:14" ht="15.75" customHeight="1" x14ac:dyDescent="0.25">
      <c r="A103" s="17" t="s">
        <v>383</v>
      </c>
      <c r="B103" s="44">
        <v>24.9</v>
      </c>
      <c r="C103" s="18" t="s">
        <v>8</v>
      </c>
      <c r="D103" s="18" t="s">
        <v>11</v>
      </c>
      <c r="E103" s="17" t="s">
        <v>17</v>
      </c>
      <c r="F103" s="26">
        <v>45731</v>
      </c>
      <c r="G103" s="27" t="s">
        <v>293</v>
      </c>
      <c r="M103"/>
      <c r="N103"/>
    </row>
    <row r="104" spans="1:14" ht="15.75" customHeight="1" x14ac:dyDescent="0.25">
      <c r="A104" s="17" t="s">
        <v>384</v>
      </c>
      <c r="B104" s="44">
        <v>27.408333333333331</v>
      </c>
      <c r="C104" s="18" t="s">
        <v>8</v>
      </c>
      <c r="D104" s="18" t="s">
        <v>11</v>
      </c>
      <c r="E104" s="17" t="s">
        <v>12</v>
      </c>
      <c r="F104" s="26">
        <v>45731</v>
      </c>
      <c r="G104" s="27" t="s">
        <v>386</v>
      </c>
      <c r="M104"/>
      <c r="N104"/>
    </row>
    <row r="105" spans="1:14" ht="15.75" customHeight="1" x14ac:dyDescent="0.25">
      <c r="A105" s="17" t="s">
        <v>385</v>
      </c>
      <c r="B105" s="44">
        <v>27.406666666666666</v>
      </c>
      <c r="C105" s="18" t="s">
        <v>8</v>
      </c>
      <c r="D105" s="18" t="s">
        <v>14</v>
      </c>
      <c r="E105" s="17" t="s">
        <v>12</v>
      </c>
      <c r="F105" s="26">
        <v>45731</v>
      </c>
      <c r="G105" s="27" t="s">
        <v>386</v>
      </c>
      <c r="M105"/>
      <c r="N105"/>
    </row>
    <row r="106" spans="1:14" ht="15.75" customHeight="1" x14ac:dyDescent="0.25">
      <c r="A106" s="17" t="s">
        <v>120</v>
      </c>
      <c r="B106" s="44">
        <v>35.9</v>
      </c>
      <c r="C106" s="18" t="s">
        <v>8</v>
      </c>
      <c r="D106" s="18" t="s">
        <v>31</v>
      </c>
      <c r="E106" s="17" t="s">
        <v>12</v>
      </c>
      <c r="F106" s="26">
        <v>45731</v>
      </c>
      <c r="G106" s="27" t="s">
        <v>293</v>
      </c>
      <c r="M106"/>
      <c r="N106"/>
    </row>
    <row r="107" spans="1:14" ht="15.75" customHeight="1" x14ac:dyDescent="0.25">
      <c r="A107" s="17" t="s">
        <v>387</v>
      </c>
      <c r="B107" s="44">
        <v>36.5</v>
      </c>
      <c r="C107" s="18" t="s">
        <v>8</v>
      </c>
      <c r="D107" s="18" t="s">
        <v>36</v>
      </c>
      <c r="E107" s="17" t="s">
        <v>12</v>
      </c>
      <c r="F107" s="26">
        <v>45732</v>
      </c>
      <c r="G107" s="27" t="s">
        <v>293</v>
      </c>
      <c r="M107"/>
      <c r="N107"/>
    </row>
    <row r="108" spans="1:14" ht="15.75" customHeight="1" x14ac:dyDescent="0.25">
      <c r="A108" s="17" t="s">
        <v>388</v>
      </c>
      <c r="B108" s="44">
        <v>40</v>
      </c>
      <c r="C108" s="18" t="s">
        <v>8</v>
      </c>
      <c r="D108" s="18" t="s">
        <v>11</v>
      </c>
      <c r="E108" s="17" t="s">
        <v>17</v>
      </c>
      <c r="F108" s="26">
        <v>45732</v>
      </c>
      <c r="G108" s="27" t="s">
        <v>293</v>
      </c>
      <c r="M108"/>
      <c r="N108"/>
    </row>
    <row r="109" spans="1:14" ht="15.75" customHeight="1" x14ac:dyDescent="0.25">
      <c r="A109" s="17" t="s">
        <v>13</v>
      </c>
      <c r="B109" s="44">
        <v>66.87</v>
      </c>
      <c r="C109" s="18" t="s">
        <v>8</v>
      </c>
      <c r="D109" s="18" t="s">
        <v>14</v>
      </c>
      <c r="E109" s="17" t="s">
        <v>17</v>
      </c>
      <c r="F109" s="26">
        <v>45732</v>
      </c>
      <c r="G109" s="27" t="s">
        <v>293</v>
      </c>
      <c r="M109"/>
      <c r="N109"/>
    </row>
    <row r="110" spans="1:14" ht="15.75" customHeight="1" x14ac:dyDescent="0.25">
      <c r="A110" s="17" t="s">
        <v>389</v>
      </c>
      <c r="B110" s="44">
        <v>64.89</v>
      </c>
      <c r="C110" s="18" t="s">
        <v>8</v>
      </c>
      <c r="D110" s="18" t="s">
        <v>36</v>
      </c>
      <c r="E110" s="17" t="s">
        <v>17</v>
      </c>
      <c r="F110" s="26">
        <v>45732</v>
      </c>
      <c r="G110" s="27" t="s">
        <v>293</v>
      </c>
      <c r="M110"/>
      <c r="N110"/>
    </row>
    <row r="111" spans="1:14" ht="15.75" customHeight="1" x14ac:dyDescent="0.25">
      <c r="A111" s="17" t="s">
        <v>374</v>
      </c>
      <c r="B111" s="45">
        <v>20</v>
      </c>
      <c r="C111" s="18" t="s">
        <v>8</v>
      </c>
      <c r="D111" s="18" t="s">
        <v>16</v>
      </c>
      <c r="E111" s="17" t="s">
        <v>12</v>
      </c>
      <c r="F111" s="26">
        <v>45733</v>
      </c>
      <c r="G111" s="27" t="s">
        <v>293</v>
      </c>
      <c r="M111"/>
      <c r="N111"/>
    </row>
    <row r="112" spans="1:14" ht="15.75" customHeight="1" x14ac:dyDescent="0.25">
      <c r="A112" s="17" t="s">
        <v>390</v>
      </c>
      <c r="B112" s="45">
        <v>19.899999999999999</v>
      </c>
      <c r="C112" s="18" t="s">
        <v>8</v>
      </c>
      <c r="D112" s="18" t="s">
        <v>20</v>
      </c>
      <c r="E112" s="17" t="s">
        <v>12</v>
      </c>
      <c r="F112" s="26">
        <v>45733</v>
      </c>
      <c r="G112" s="27" t="s">
        <v>293</v>
      </c>
      <c r="M112"/>
      <c r="N112"/>
    </row>
    <row r="113" spans="1:14" ht="15.75" customHeight="1" x14ac:dyDescent="0.25">
      <c r="A113" s="17" t="s">
        <v>391</v>
      </c>
      <c r="B113" s="47">
        <v>36.907499999999999</v>
      </c>
      <c r="C113" s="18" t="s">
        <v>8</v>
      </c>
      <c r="D113" s="18" t="s">
        <v>22</v>
      </c>
      <c r="E113" s="17" t="s">
        <v>17</v>
      </c>
      <c r="F113" s="26">
        <v>45734</v>
      </c>
      <c r="G113" s="27" t="s">
        <v>294</v>
      </c>
      <c r="M113"/>
      <c r="N113"/>
    </row>
    <row r="114" spans="1:14" ht="15.75" customHeight="1" x14ac:dyDescent="0.25">
      <c r="A114" s="17" t="s">
        <v>392</v>
      </c>
      <c r="B114" s="47">
        <v>133.25</v>
      </c>
      <c r="C114" s="18" t="s">
        <v>8</v>
      </c>
      <c r="D114" s="18" t="s">
        <v>22</v>
      </c>
      <c r="E114" s="17" t="s">
        <v>17</v>
      </c>
      <c r="F114" s="26">
        <v>45734</v>
      </c>
      <c r="G114" s="27" t="s">
        <v>294</v>
      </c>
      <c r="M114"/>
      <c r="N114"/>
    </row>
    <row r="115" spans="1:14" ht="15.75" customHeight="1" x14ac:dyDescent="0.25">
      <c r="A115" s="17" t="s">
        <v>133</v>
      </c>
      <c r="B115" s="48">
        <v>85.79</v>
      </c>
      <c r="C115" s="18" t="s">
        <v>8</v>
      </c>
      <c r="D115" s="18" t="s">
        <v>16</v>
      </c>
      <c r="E115" s="17" t="s">
        <v>17</v>
      </c>
      <c r="F115" s="26">
        <v>45734</v>
      </c>
      <c r="G115" s="27" t="s">
        <v>293</v>
      </c>
      <c r="M115"/>
      <c r="N115"/>
    </row>
    <row r="116" spans="1:14" ht="15.75" customHeight="1" x14ac:dyDescent="0.25">
      <c r="A116" s="17" t="s">
        <v>393</v>
      </c>
      <c r="B116" s="49">
        <v>50</v>
      </c>
      <c r="C116" s="18" t="s">
        <v>8</v>
      </c>
      <c r="D116" s="18" t="s">
        <v>31</v>
      </c>
      <c r="E116" s="17" t="s">
        <v>12</v>
      </c>
      <c r="F116" s="26">
        <v>45735</v>
      </c>
      <c r="G116" s="27" t="s">
        <v>293</v>
      </c>
      <c r="M116"/>
      <c r="N116"/>
    </row>
    <row r="117" spans="1:14" ht="15.75" customHeight="1" x14ac:dyDescent="0.25">
      <c r="A117" s="17" t="s">
        <v>120</v>
      </c>
      <c r="B117" s="50">
        <v>9.7100000000000009</v>
      </c>
      <c r="C117" s="18" t="s">
        <v>8</v>
      </c>
      <c r="D117" s="18" t="s">
        <v>31</v>
      </c>
      <c r="E117" s="17" t="s">
        <v>12</v>
      </c>
      <c r="F117" s="26">
        <v>45736</v>
      </c>
      <c r="G117" s="27" t="s">
        <v>293</v>
      </c>
      <c r="M117"/>
      <c r="N117"/>
    </row>
    <row r="118" spans="1:14" ht="15.75" customHeight="1" x14ac:dyDescent="0.25">
      <c r="A118" s="17" t="s">
        <v>120</v>
      </c>
      <c r="B118" s="50">
        <v>9.7100000000000009</v>
      </c>
      <c r="C118" s="18" t="s">
        <v>8</v>
      </c>
      <c r="D118" s="18" t="s">
        <v>31</v>
      </c>
      <c r="E118" s="17" t="s">
        <v>12</v>
      </c>
      <c r="F118" s="26">
        <v>45736</v>
      </c>
      <c r="G118" s="27" t="s">
        <v>293</v>
      </c>
      <c r="M118"/>
      <c r="N118"/>
    </row>
    <row r="119" spans="1:14" ht="15.75" customHeight="1" x14ac:dyDescent="0.25">
      <c r="A119" s="17" t="s">
        <v>43</v>
      </c>
      <c r="B119" s="50">
        <v>255.09</v>
      </c>
      <c r="C119" s="18" t="s">
        <v>8</v>
      </c>
      <c r="D119" s="18" t="s">
        <v>31</v>
      </c>
      <c r="E119" s="17" t="s">
        <v>12</v>
      </c>
      <c r="F119" s="26">
        <v>45736</v>
      </c>
      <c r="G119" s="27" t="s">
        <v>293</v>
      </c>
      <c r="M119"/>
      <c r="N119"/>
    </row>
    <row r="120" spans="1:14" ht="15.75" customHeight="1" x14ac:dyDescent="0.25">
      <c r="A120" s="17" t="s">
        <v>15</v>
      </c>
      <c r="B120" s="51">
        <v>67.959999999999994</v>
      </c>
      <c r="C120" s="18" t="s">
        <v>8</v>
      </c>
      <c r="D120" s="18" t="s">
        <v>16</v>
      </c>
      <c r="E120" s="17" t="s">
        <v>17</v>
      </c>
      <c r="F120" s="26">
        <v>45737</v>
      </c>
      <c r="G120" s="27" t="s">
        <v>293</v>
      </c>
      <c r="M120"/>
      <c r="N120"/>
    </row>
    <row r="121" spans="1:14" ht="15.75" customHeight="1" x14ac:dyDescent="0.25">
      <c r="A121" s="17" t="s">
        <v>394</v>
      </c>
      <c r="B121" s="51">
        <v>86.54</v>
      </c>
      <c r="C121" s="18" t="s">
        <v>8</v>
      </c>
      <c r="D121" s="18" t="s">
        <v>11</v>
      </c>
      <c r="E121" s="17" t="s">
        <v>17</v>
      </c>
      <c r="F121" s="26">
        <v>45738</v>
      </c>
      <c r="G121" s="27" t="s">
        <v>303</v>
      </c>
      <c r="M121"/>
      <c r="N121"/>
    </row>
    <row r="122" spans="1:14" ht="15.75" customHeight="1" x14ac:dyDescent="0.25">
      <c r="A122" s="17" t="s">
        <v>395</v>
      </c>
      <c r="B122" s="51">
        <v>199.9</v>
      </c>
      <c r="C122" s="18" t="s">
        <v>8</v>
      </c>
      <c r="D122" s="18" t="s">
        <v>11</v>
      </c>
      <c r="E122" s="17" t="s">
        <v>17</v>
      </c>
      <c r="F122" s="26">
        <v>45738</v>
      </c>
      <c r="G122" s="27" t="s">
        <v>293</v>
      </c>
      <c r="M122"/>
      <c r="N122"/>
    </row>
    <row r="123" spans="1:14" ht="15.75" customHeight="1" x14ac:dyDescent="0.25">
      <c r="A123" s="17" t="s">
        <v>120</v>
      </c>
      <c r="B123" s="51">
        <v>27.35</v>
      </c>
      <c r="C123" s="18" t="s">
        <v>8</v>
      </c>
      <c r="D123" s="18" t="s">
        <v>31</v>
      </c>
      <c r="E123" s="17" t="s">
        <v>17</v>
      </c>
      <c r="F123" s="26">
        <v>45738</v>
      </c>
      <c r="G123" s="27" t="s">
        <v>293</v>
      </c>
      <c r="M123"/>
      <c r="N123"/>
    </row>
    <row r="124" spans="1:14" ht="15.75" customHeight="1" x14ac:dyDescent="0.25">
      <c r="A124" s="17" t="s">
        <v>396</v>
      </c>
      <c r="B124" s="51">
        <v>188.24</v>
      </c>
      <c r="C124" s="18" t="s">
        <v>8</v>
      </c>
      <c r="D124" s="18" t="s">
        <v>36</v>
      </c>
      <c r="E124" s="17" t="s">
        <v>17</v>
      </c>
      <c r="F124" s="26">
        <v>45738</v>
      </c>
      <c r="G124" s="27" t="s">
        <v>293</v>
      </c>
      <c r="M124"/>
      <c r="N124"/>
    </row>
    <row r="125" spans="1:14" ht="15.75" customHeight="1" x14ac:dyDescent="0.25">
      <c r="A125" s="17" t="s">
        <v>120</v>
      </c>
      <c r="B125" s="51">
        <v>18.8</v>
      </c>
      <c r="C125" s="18" t="s">
        <v>8</v>
      </c>
      <c r="D125" s="18" t="s">
        <v>31</v>
      </c>
      <c r="E125" s="17" t="s">
        <v>12</v>
      </c>
      <c r="F125" s="26">
        <v>45738</v>
      </c>
      <c r="G125" s="27" t="s">
        <v>293</v>
      </c>
      <c r="M125"/>
      <c r="N125"/>
    </row>
    <row r="126" spans="1:14" ht="15.75" customHeight="1" x14ac:dyDescent="0.25">
      <c r="A126" s="17" t="s">
        <v>13</v>
      </c>
      <c r="B126" s="51">
        <v>1.69</v>
      </c>
      <c r="C126" s="18" t="s">
        <v>8</v>
      </c>
      <c r="D126" s="18" t="s">
        <v>14</v>
      </c>
      <c r="E126" s="17" t="s">
        <v>12</v>
      </c>
      <c r="F126" s="26">
        <v>45738</v>
      </c>
      <c r="G126" s="27" t="s">
        <v>293</v>
      </c>
      <c r="M126"/>
      <c r="N126"/>
    </row>
    <row r="127" spans="1:14" ht="15.75" customHeight="1" x14ac:dyDescent="0.25">
      <c r="A127" s="17" t="s">
        <v>13</v>
      </c>
      <c r="B127" s="51">
        <v>81.03</v>
      </c>
      <c r="C127" s="18" t="s">
        <v>8</v>
      </c>
      <c r="D127" s="18" t="s">
        <v>14</v>
      </c>
      <c r="E127" s="17" t="s">
        <v>12</v>
      </c>
      <c r="F127" s="26">
        <v>45738</v>
      </c>
      <c r="G127" s="27" t="s">
        <v>397</v>
      </c>
      <c r="M127"/>
      <c r="N127"/>
    </row>
    <row r="128" spans="1:14" ht="15.75" customHeight="1" x14ac:dyDescent="0.25">
      <c r="A128" s="17" t="s">
        <v>15</v>
      </c>
      <c r="B128" s="51">
        <v>16.920000000000002</v>
      </c>
      <c r="C128" s="18" t="s">
        <v>8</v>
      </c>
      <c r="D128" s="18" t="s">
        <v>16</v>
      </c>
      <c r="E128" s="17" t="s">
        <v>17</v>
      </c>
      <c r="F128" s="26">
        <v>45739</v>
      </c>
      <c r="G128" s="27" t="s">
        <v>293</v>
      </c>
      <c r="M128"/>
      <c r="N128"/>
    </row>
    <row r="129" spans="1:14" ht="15.75" customHeight="1" x14ac:dyDescent="0.25">
      <c r="A129" s="17" t="s">
        <v>398</v>
      </c>
      <c r="B129" s="51">
        <v>62</v>
      </c>
      <c r="C129" s="18" t="s">
        <v>8</v>
      </c>
      <c r="D129" s="18" t="s">
        <v>36</v>
      </c>
      <c r="E129" s="17" t="s">
        <v>12</v>
      </c>
      <c r="F129" s="26">
        <v>45739</v>
      </c>
      <c r="G129" s="27" t="s">
        <v>293</v>
      </c>
      <c r="M129"/>
      <c r="N129"/>
    </row>
    <row r="130" spans="1:14" ht="15.75" customHeight="1" x14ac:dyDescent="0.25">
      <c r="A130" s="17" t="s">
        <v>188</v>
      </c>
      <c r="B130" s="51">
        <v>45.99</v>
      </c>
      <c r="C130" s="18" t="s">
        <v>8</v>
      </c>
      <c r="D130" s="18" t="s">
        <v>36</v>
      </c>
      <c r="E130" s="17" t="s">
        <v>12</v>
      </c>
      <c r="F130" s="26">
        <v>45739</v>
      </c>
      <c r="G130" s="27" t="s">
        <v>293</v>
      </c>
      <c r="M130"/>
      <c r="N130"/>
    </row>
    <row r="131" spans="1:14" ht="15.75" customHeight="1" x14ac:dyDescent="0.25">
      <c r="A131" s="17" t="s">
        <v>13</v>
      </c>
      <c r="B131" s="51">
        <v>13.16</v>
      </c>
      <c r="C131" s="18" t="s">
        <v>8</v>
      </c>
      <c r="D131" s="18" t="s">
        <v>14</v>
      </c>
      <c r="E131" s="17" t="s">
        <v>12</v>
      </c>
      <c r="F131" s="26">
        <v>45739</v>
      </c>
      <c r="G131" s="27" t="s">
        <v>293</v>
      </c>
      <c r="M131"/>
      <c r="N131"/>
    </row>
    <row r="132" spans="1:14" ht="15.75" customHeight="1" x14ac:dyDescent="0.25">
      <c r="A132" s="17" t="s">
        <v>120</v>
      </c>
      <c r="B132" s="52">
        <v>11.15</v>
      </c>
      <c r="C132" s="18" t="s">
        <v>8</v>
      </c>
      <c r="D132" s="18" t="s">
        <v>31</v>
      </c>
      <c r="E132" s="17" t="s">
        <v>12</v>
      </c>
      <c r="F132" s="26">
        <v>45740</v>
      </c>
      <c r="G132" s="27" t="s">
        <v>293</v>
      </c>
      <c r="M132"/>
      <c r="N132"/>
    </row>
    <row r="133" spans="1:14" ht="15.75" customHeight="1" x14ac:dyDescent="0.25">
      <c r="A133" s="17" t="s">
        <v>120</v>
      </c>
      <c r="B133" s="52">
        <v>9.4</v>
      </c>
      <c r="C133" s="18" t="s">
        <v>8</v>
      </c>
      <c r="D133" s="18" t="s">
        <v>31</v>
      </c>
      <c r="E133" s="17" t="s">
        <v>12</v>
      </c>
      <c r="F133" s="26">
        <v>45740</v>
      </c>
      <c r="G133" s="27" t="s">
        <v>293</v>
      </c>
      <c r="M133"/>
      <c r="N133"/>
    </row>
    <row r="134" spans="1:14" ht="15.75" customHeight="1" x14ac:dyDescent="0.25">
      <c r="A134" s="17" t="s">
        <v>120</v>
      </c>
      <c r="B134" s="52">
        <v>8.1</v>
      </c>
      <c r="C134" s="18" t="s">
        <v>8</v>
      </c>
      <c r="D134" s="18" t="s">
        <v>31</v>
      </c>
      <c r="E134" s="17" t="s">
        <v>12</v>
      </c>
      <c r="F134" s="26">
        <v>45740</v>
      </c>
      <c r="G134" s="27" t="s">
        <v>293</v>
      </c>
      <c r="M134"/>
      <c r="N134"/>
    </row>
    <row r="135" spans="1:14" ht="15.75" customHeight="1" x14ac:dyDescent="0.25">
      <c r="A135" s="17" t="s">
        <v>133</v>
      </c>
      <c r="B135" s="52">
        <v>12.96</v>
      </c>
      <c r="C135" s="18" t="s">
        <v>8</v>
      </c>
      <c r="D135" s="18" t="s">
        <v>16</v>
      </c>
      <c r="E135" s="17" t="s">
        <v>17</v>
      </c>
      <c r="F135" s="26">
        <v>45740</v>
      </c>
      <c r="G135" s="27" t="s">
        <v>293</v>
      </c>
      <c r="M135"/>
      <c r="N135"/>
    </row>
    <row r="136" spans="1:14" ht="15.75" customHeight="1" x14ac:dyDescent="0.25">
      <c r="A136" s="17" t="s">
        <v>15</v>
      </c>
      <c r="B136" s="52">
        <v>82.84</v>
      </c>
      <c r="C136" s="18" t="s">
        <v>8</v>
      </c>
      <c r="D136" s="18" t="s">
        <v>16</v>
      </c>
      <c r="E136" s="17" t="s">
        <v>17</v>
      </c>
      <c r="F136" s="26">
        <v>45740</v>
      </c>
      <c r="G136" s="27" t="s">
        <v>293</v>
      </c>
      <c r="M136"/>
      <c r="N136"/>
    </row>
    <row r="137" spans="1:14" ht="15.75" customHeight="1" x14ac:dyDescent="0.25">
      <c r="A137" s="17" t="s">
        <v>399</v>
      </c>
      <c r="B137" s="53">
        <v>8</v>
      </c>
      <c r="C137" s="18" t="s">
        <v>8</v>
      </c>
      <c r="D137" s="18" t="s">
        <v>11</v>
      </c>
      <c r="E137" s="17" t="s">
        <v>17</v>
      </c>
      <c r="F137" s="26">
        <v>45741</v>
      </c>
      <c r="G137" s="27" t="s">
        <v>293</v>
      </c>
      <c r="M137"/>
      <c r="N137"/>
    </row>
    <row r="138" spans="1:14" ht="15.75" customHeight="1" x14ac:dyDescent="0.25">
      <c r="A138" s="17" t="s">
        <v>400</v>
      </c>
      <c r="B138" s="54">
        <v>54.991666666666667</v>
      </c>
      <c r="C138" s="18" t="s">
        <v>8</v>
      </c>
      <c r="D138" s="18" t="s">
        <v>11</v>
      </c>
      <c r="E138" s="17" t="s">
        <v>12</v>
      </c>
      <c r="F138" s="26">
        <v>45742</v>
      </c>
      <c r="G138" s="27" t="s">
        <v>386</v>
      </c>
      <c r="M138"/>
      <c r="N138"/>
    </row>
    <row r="139" spans="1:14" ht="15.75" customHeight="1" x14ac:dyDescent="0.25">
      <c r="A139" s="17" t="s">
        <v>401</v>
      </c>
      <c r="B139" s="55">
        <v>87.19</v>
      </c>
      <c r="C139" s="18" t="s">
        <v>8</v>
      </c>
      <c r="D139" s="18" t="s">
        <v>36</v>
      </c>
      <c r="E139" s="17" t="s">
        <v>17</v>
      </c>
      <c r="F139" s="26">
        <v>45742</v>
      </c>
      <c r="G139" s="27" t="s">
        <v>293</v>
      </c>
      <c r="M139"/>
      <c r="N139"/>
    </row>
    <row r="140" spans="1:14" ht="15.75" customHeight="1" x14ac:dyDescent="0.25">
      <c r="A140" s="17" t="s">
        <v>402</v>
      </c>
      <c r="B140" s="56">
        <v>12.9</v>
      </c>
      <c r="C140" s="18" t="s">
        <v>8</v>
      </c>
      <c r="D140" s="18" t="s">
        <v>20</v>
      </c>
      <c r="E140" s="17" t="s">
        <v>12</v>
      </c>
      <c r="F140" s="26">
        <v>45744</v>
      </c>
      <c r="G140" s="27" t="s">
        <v>293</v>
      </c>
      <c r="M140"/>
      <c r="N140"/>
    </row>
    <row r="141" spans="1:14" ht="15.75" customHeight="1" x14ac:dyDescent="0.25">
      <c r="A141" s="17" t="s">
        <v>403</v>
      </c>
      <c r="B141" s="56">
        <v>97</v>
      </c>
      <c r="C141" s="18" t="s">
        <v>8</v>
      </c>
      <c r="D141" s="18" t="s">
        <v>36</v>
      </c>
      <c r="E141" s="17" t="s">
        <v>12</v>
      </c>
      <c r="F141" s="26">
        <v>45744</v>
      </c>
      <c r="G141" s="27" t="s">
        <v>293</v>
      </c>
      <c r="M141"/>
      <c r="N141"/>
    </row>
    <row r="142" spans="1:14" ht="15.75" customHeight="1" x14ac:dyDescent="0.25">
      <c r="A142" s="17" t="s">
        <v>404</v>
      </c>
      <c r="B142" s="56">
        <v>39</v>
      </c>
      <c r="C142" s="18" t="s">
        <v>8</v>
      </c>
      <c r="D142" s="18" t="s">
        <v>11</v>
      </c>
      <c r="E142" s="17" t="s">
        <v>12</v>
      </c>
      <c r="F142" s="26">
        <v>45745</v>
      </c>
      <c r="G142" s="27" t="s">
        <v>293</v>
      </c>
      <c r="M142"/>
      <c r="N142"/>
    </row>
    <row r="143" spans="1:14" ht="15.75" customHeight="1" x14ac:dyDescent="0.25">
      <c r="A143" s="17" t="s">
        <v>188</v>
      </c>
      <c r="B143" s="56">
        <v>25.4</v>
      </c>
      <c r="C143" s="18" t="s">
        <v>8</v>
      </c>
      <c r="D143" s="18" t="s">
        <v>16</v>
      </c>
      <c r="E143" s="17" t="s">
        <v>17</v>
      </c>
      <c r="F143" s="26">
        <v>45745</v>
      </c>
      <c r="G143" s="27" t="s">
        <v>293</v>
      </c>
      <c r="M143"/>
      <c r="N143"/>
    </row>
    <row r="144" spans="1:14" ht="15.75" customHeight="1" x14ac:dyDescent="0.25">
      <c r="A144" s="17" t="s">
        <v>405</v>
      </c>
      <c r="B144" s="56">
        <v>59</v>
      </c>
      <c r="C144" s="18" t="s">
        <v>8</v>
      </c>
      <c r="D144" s="18" t="s">
        <v>11</v>
      </c>
      <c r="E144" s="17" t="s">
        <v>17</v>
      </c>
      <c r="F144" s="26">
        <v>45745</v>
      </c>
      <c r="G144" s="27" t="s">
        <v>293</v>
      </c>
      <c r="M144"/>
      <c r="N144"/>
    </row>
    <row r="145" spans="1:14" ht="15.75" customHeight="1" x14ac:dyDescent="0.25">
      <c r="A145" s="17" t="s">
        <v>406</v>
      </c>
      <c r="B145" s="56">
        <v>40</v>
      </c>
      <c r="C145" s="18" t="s">
        <v>8</v>
      </c>
      <c r="D145" s="18" t="s">
        <v>16</v>
      </c>
      <c r="E145" s="17" t="s">
        <v>12</v>
      </c>
      <c r="F145" s="26">
        <v>45744</v>
      </c>
      <c r="G145" s="27" t="s">
        <v>293</v>
      </c>
      <c r="M145"/>
      <c r="N145"/>
    </row>
    <row r="146" spans="1:14" ht="15.75" customHeight="1" x14ac:dyDescent="0.25">
      <c r="A146" s="17" t="s">
        <v>188</v>
      </c>
      <c r="B146" s="56">
        <v>45.99</v>
      </c>
      <c r="C146" s="18" t="s">
        <v>8</v>
      </c>
      <c r="D146" s="18" t="s">
        <v>16</v>
      </c>
      <c r="E146" s="17" t="s">
        <v>12</v>
      </c>
      <c r="F146" s="26">
        <v>45746</v>
      </c>
      <c r="G146" s="27" t="s">
        <v>293</v>
      </c>
      <c r="M146"/>
      <c r="N146"/>
    </row>
    <row r="147" spans="1:14" ht="15.75" customHeight="1" x14ac:dyDescent="0.25">
      <c r="A147" s="17" t="s">
        <v>407</v>
      </c>
      <c r="B147" s="56">
        <v>99.596666666666678</v>
      </c>
      <c r="C147" s="18" t="s">
        <v>8</v>
      </c>
      <c r="D147" s="18" t="s">
        <v>11</v>
      </c>
      <c r="E147" s="17" t="s">
        <v>12</v>
      </c>
      <c r="F147" s="26">
        <v>45746</v>
      </c>
      <c r="G147" s="27" t="s">
        <v>303</v>
      </c>
      <c r="M147"/>
      <c r="N147"/>
    </row>
    <row r="148" spans="1:14" ht="15.75" customHeight="1" x14ac:dyDescent="0.25">
      <c r="A148" s="17" t="s">
        <v>408</v>
      </c>
      <c r="B148" s="56">
        <v>200</v>
      </c>
      <c r="C148" s="18" t="s">
        <v>8</v>
      </c>
      <c r="D148" s="18" t="s">
        <v>63</v>
      </c>
      <c r="E148" s="17" t="s">
        <v>12</v>
      </c>
      <c r="F148" s="26">
        <v>45737</v>
      </c>
      <c r="G148" s="27" t="s">
        <v>293</v>
      </c>
      <c r="M148"/>
      <c r="N148"/>
    </row>
    <row r="149" spans="1:14" ht="15.75" customHeight="1" x14ac:dyDescent="0.25">
      <c r="A149" s="17" t="s">
        <v>409</v>
      </c>
      <c r="B149" s="56">
        <v>250</v>
      </c>
      <c r="C149" s="18" t="s">
        <v>8</v>
      </c>
      <c r="D149" s="18" t="s">
        <v>63</v>
      </c>
      <c r="E149" s="17" t="s">
        <v>17</v>
      </c>
      <c r="F149" s="26">
        <v>45747</v>
      </c>
      <c r="G149" s="27" t="s">
        <v>293</v>
      </c>
      <c r="M149"/>
      <c r="N149"/>
    </row>
    <row r="150" spans="1:14" ht="15.75" customHeight="1" x14ac:dyDescent="0.25">
      <c r="C150" s="18"/>
      <c r="D150" s="18"/>
      <c r="M150"/>
      <c r="N150"/>
    </row>
    <row r="151" spans="1:14" ht="15.75" customHeight="1" x14ac:dyDescent="0.25">
      <c r="C151" s="18"/>
      <c r="D151" s="18"/>
      <c r="M151"/>
      <c r="N151"/>
    </row>
    <row r="152" spans="1:14" ht="15.75" customHeight="1" x14ac:dyDescent="0.25">
      <c r="C152" s="18"/>
      <c r="D152" s="18"/>
      <c r="M152"/>
      <c r="N152"/>
    </row>
    <row r="153" spans="1:14" ht="15.75" customHeight="1" x14ac:dyDescent="0.25">
      <c r="C153" s="18"/>
      <c r="D153" s="18"/>
      <c r="M153"/>
      <c r="N153"/>
    </row>
    <row r="154" spans="1:14" ht="15.75" customHeight="1" x14ac:dyDescent="0.25">
      <c r="C154" s="18"/>
      <c r="D154" s="18"/>
      <c r="M154"/>
      <c r="N154"/>
    </row>
    <row r="155" spans="1:14" ht="15.75" customHeight="1" x14ac:dyDescent="0.25">
      <c r="C155" s="18"/>
      <c r="D155" s="18"/>
      <c r="M155"/>
      <c r="N155"/>
    </row>
    <row r="156" spans="1:14" ht="15.75" customHeight="1" x14ac:dyDescent="0.25">
      <c r="C156" s="18"/>
      <c r="D156" s="18"/>
      <c r="M156"/>
      <c r="N156"/>
    </row>
    <row r="157" spans="1:14" ht="15.75" customHeight="1" x14ac:dyDescent="0.25">
      <c r="C157" s="18"/>
      <c r="D157" s="18"/>
      <c r="M157"/>
      <c r="N157"/>
    </row>
    <row r="158" spans="1:14" ht="15.75" customHeight="1" x14ac:dyDescent="0.25">
      <c r="C158" s="18"/>
      <c r="D158" s="18"/>
      <c r="M158"/>
      <c r="N158"/>
    </row>
    <row r="159" spans="1:14" ht="15.75" customHeight="1" x14ac:dyDescent="0.25">
      <c r="C159" s="18"/>
      <c r="D159" s="18"/>
      <c r="M159"/>
      <c r="N159"/>
    </row>
    <row r="160" spans="1:1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>
      <c r="C973" s="18"/>
      <c r="D973" s="18"/>
    </row>
    <row r="974" spans="3:4" ht="15.75" customHeight="1" x14ac:dyDescent="0.25">
      <c r="C974" s="18"/>
      <c r="D974" s="18"/>
    </row>
    <row r="975" spans="3:4" ht="15.75" customHeight="1" x14ac:dyDescent="0.25">
      <c r="C975" s="18"/>
      <c r="D975" s="18"/>
    </row>
    <row r="976" spans="3:4" ht="15.75" customHeight="1" x14ac:dyDescent="0.25">
      <c r="C976" s="18"/>
      <c r="D976" s="18"/>
    </row>
    <row r="977" spans="3:4" ht="15.75" customHeight="1" x14ac:dyDescent="0.25">
      <c r="C977" s="18"/>
      <c r="D977" s="18"/>
    </row>
    <row r="978" spans="3:4" ht="15.75" customHeight="1" x14ac:dyDescent="0.25">
      <c r="C978" s="18"/>
      <c r="D978" s="18"/>
    </row>
    <row r="979" spans="3:4" ht="15.75" customHeight="1" x14ac:dyDescent="0.25">
      <c r="C979" s="18"/>
      <c r="D979" s="18"/>
    </row>
    <row r="980" spans="3:4" ht="15.75" customHeight="1" x14ac:dyDescent="0.25">
      <c r="C980" s="18"/>
      <c r="D980" s="18"/>
    </row>
    <row r="981" spans="3:4" ht="15.75" customHeight="1" x14ac:dyDescent="0.25">
      <c r="C981" s="18"/>
      <c r="D981" s="18"/>
    </row>
    <row r="982" spans="3:4" ht="15.75" customHeight="1" x14ac:dyDescent="0.25">
      <c r="C982" s="18"/>
      <c r="D982" s="18"/>
    </row>
    <row r="983" spans="3:4" ht="15.75" customHeight="1" x14ac:dyDescent="0.25">
      <c r="C983" s="18"/>
      <c r="D983" s="18"/>
    </row>
    <row r="984" spans="3:4" ht="15.75" customHeight="1" x14ac:dyDescent="0.25">
      <c r="C984" s="18"/>
      <c r="D984" s="18"/>
    </row>
    <row r="985" spans="3:4" ht="15.75" customHeight="1" x14ac:dyDescent="0.25"/>
    <row r="986" spans="3:4" ht="15.75" customHeight="1" x14ac:dyDescent="0.25"/>
    <row r="987" spans="3:4" ht="15.75" customHeight="1" x14ac:dyDescent="0.25"/>
    <row r="988" spans="3:4" ht="15.75" customHeight="1" x14ac:dyDescent="0.25"/>
    <row r="989" spans="3:4" ht="15.75" customHeight="1" x14ac:dyDescent="0.25"/>
    <row r="990" spans="3:4" ht="15.75" customHeight="1" x14ac:dyDescent="0.25"/>
    <row r="991" spans="3:4" ht="15.75" customHeight="1" x14ac:dyDescent="0.25"/>
    <row r="992" spans="3:4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5E1E8-AC6F-41CE-9F53-F7E4037B2F1E}">
  <sheetPr codeName="Sheet6"/>
  <dimension ref="A1:L997"/>
  <sheetViews>
    <sheetView tabSelected="1" workbookViewId="0">
      <selection activeCell="H9" sqref="H9"/>
    </sheetView>
  </sheetViews>
  <sheetFormatPr defaultColWidth="14.42578125" defaultRowHeight="15" customHeight="1" x14ac:dyDescent="0.25"/>
  <cols>
    <col min="1" max="1" width="28.85546875" style="17" bestFit="1" customWidth="1"/>
    <col min="2" max="2" width="9.7109375" style="17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184" t="s">
        <v>0</v>
      </c>
      <c r="B1" s="188">
        <f>SUMIF('04_2025'!$C$5:$C$134,"Expense",'04_2025'!$B$5:$B$134)-SUMIF('04_2025'!$C$5:$C$134,"Income",'04_2025'!$B$5:$B$134)</f>
        <v>-4245.5074166666691</v>
      </c>
    </row>
    <row r="2" spans="1:12" ht="15" customHeight="1" x14ac:dyDescent="0.25">
      <c r="A2" s="186"/>
      <c r="B2" s="189"/>
    </row>
    <row r="3" spans="1:12" x14ac:dyDescent="0.25">
      <c r="F3" s="18">
        <v>12</v>
      </c>
    </row>
    <row r="4" spans="1:12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</row>
    <row r="5" spans="1:12" x14ac:dyDescent="0.25">
      <c r="A5" s="18" t="s">
        <v>60</v>
      </c>
      <c r="B5" s="3">
        <v>102</v>
      </c>
      <c r="C5" s="18" t="s">
        <v>8</v>
      </c>
      <c r="D5" s="18" t="s">
        <v>61</v>
      </c>
      <c r="E5" s="8" t="s">
        <v>12</v>
      </c>
      <c r="F5" s="5">
        <v>45750</v>
      </c>
      <c r="G5" s="27"/>
    </row>
    <row r="6" spans="1:12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>
        <v>45750</v>
      </c>
      <c r="G6" s="27"/>
    </row>
    <row r="7" spans="1:12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>
        <v>45752</v>
      </c>
      <c r="G7" s="27"/>
      <c r="J7" s="11" t="s">
        <v>129</v>
      </c>
      <c r="K7" s="12" t="s">
        <v>131</v>
      </c>
      <c r="L7"/>
    </row>
    <row r="8" spans="1:12" x14ac:dyDescent="0.25">
      <c r="A8" s="18" t="s">
        <v>66</v>
      </c>
      <c r="B8" s="3">
        <v>150</v>
      </c>
      <c r="C8" s="18" t="s">
        <v>8</v>
      </c>
      <c r="D8" s="18" t="s">
        <v>63</v>
      </c>
      <c r="E8" s="8" t="s">
        <v>17</v>
      </c>
      <c r="F8" s="5">
        <v>45757</v>
      </c>
      <c r="G8" s="27"/>
      <c r="J8" s="13" t="s">
        <v>70</v>
      </c>
      <c r="K8" s="76">
        <v>4590.3</v>
      </c>
      <c r="L8"/>
    </row>
    <row r="9" spans="1:12" x14ac:dyDescent="0.25">
      <c r="A9" s="38" t="s">
        <v>372</v>
      </c>
      <c r="B9" s="3">
        <v>180.3</v>
      </c>
      <c r="C9" s="18" t="s">
        <v>8</v>
      </c>
      <c r="D9" s="18" t="s">
        <v>68</v>
      </c>
      <c r="E9" s="8" t="s">
        <v>12</v>
      </c>
      <c r="F9" s="5">
        <v>45760</v>
      </c>
      <c r="G9" s="27"/>
      <c r="J9" s="13" t="s">
        <v>20</v>
      </c>
      <c r="K9" s="76">
        <v>138.6</v>
      </c>
      <c r="L9"/>
    </row>
    <row r="10" spans="1:12" x14ac:dyDescent="0.25">
      <c r="A10" s="18" t="s">
        <v>69</v>
      </c>
      <c r="B10" s="3">
        <v>4590.3</v>
      </c>
      <c r="C10" s="18" t="s">
        <v>8</v>
      </c>
      <c r="D10" s="18" t="s">
        <v>70</v>
      </c>
      <c r="E10" s="8" t="s">
        <v>12</v>
      </c>
      <c r="F10" s="5">
        <v>45762</v>
      </c>
      <c r="G10" s="27"/>
      <c r="J10" s="13" t="s">
        <v>22</v>
      </c>
      <c r="K10" s="76">
        <v>532.60849999999994</v>
      </c>
      <c r="L10"/>
    </row>
    <row r="11" spans="1:12" x14ac:dyDescent="0.25">
      <c r="A11" s="18" t="s">
        <v>71</v>
      </c>
      <c r="B11" s="3">
        <v>5679.6</v>
      </c>
      <c r="C11" s="18" t="s">
        <v>72</v>
      </c>
      <c r="D11" s="18" t="s">
        <v>73</v>
      </c>
      <c r="E11" s="8" t="s">
        <v>17</v>
      </c>
      <c r="F11" s="5">
        <v>45762</v>
      </c>
      <c r="G11" s="27"/>
      <c r="J11" s="13" t="s">
        <v>26</v>
      </c>
      <c r="K11" s="76">
        <v>127</v>
      </c>
      <c r="L11"/>
    </row>
    <row r="12" spans="1:12" x14ac:dyDescent="0.25">
      <c r="A12" s="18" t="s">
        <v>74</v>
      </c>
      <c r="B12" s="3">
        <v>5710.37</v>
      </c>
      <c r="C12" s="18" t="s">
        <v>72</v>
      </c>
      <c r="D12" s="18" t="s">
        <v>73</v>
      </c>
      <c r="E12" s="8" t="s">
        <v>12</v>
      </c>
      <c r="F12" s="5">
        <v>45762</v>
      </c>
      <c r="G12" s="27"/>
      <c r="J12" s="13" t="s">
        <v>108</v>
      </c>
      <c r="K12" s="76">
        <v>346.14</v>
      </c>
      <c r="L12"/>
    </row>
    <row r="13" spans="1:12" x14ac:dyDescent="0.25">
      <c r="A13" s="18" t="s">
        <v>75</v>
      </c>
      <c r="B13" s="3">
        <v>60</v>
      </c>
      <c r="C13" s="18" t="s">
        <v>8</v>
      </c>
      <c r="D13" s="18" t="s">
        <v>63</v>
      </c>
      <c r="E13" s="8" t="s">
        <v>12</v>
      </c>
      <c r="F13" s="5">
        <v>45765</v>
      </c>
      <c r="G13" s="27"/>
      <c r="J13" s="13" t="s">
        <v>114</v>
      </c>
      <c r="K13" s="76">
        <v>33.166666666666664</v>
      </c>
      <c r="L13"/>
    </row>
    <row r="14" spans="1:12" x14ac:dyDescent="0.25">
      <c r="A14" s="18" t="s">
        <v>76</v>
      </c>
      <c r="B14" s="3">
        <v>100</v>
      </c>
      <c r="C14" s="18" t="s">
        <v>8</v>
      </c>
      <c r="D14" s="18" t="s">
        <v>63</v>
      </c>
      <c r="E14" s="8" t="s">
        <v>12</v>
      </c>
      <c r="F14" s="5">
        <v>45772</v>
      </c>
      <c r="G14" s="27"/>
      <c r="J14" s="13" t="s">
        <v>63</v>
      </c>
      <c r="K14" s="76">
        <v>1265</v>
      </c>
      <c r="L14"/>
    </row>
    <row r="15" spans="1:12" x14ac:dyDescent="0.25">
      <c r="A15" s="18" t="s">
        <v>77</v>
      </c>
      <c r="B15" s="3">
        <v>49.9</v>
      </c>
      <c r="C15" s="18" t="s">
        <v>8</v>
      </c>
      <c r="D15" s="18" t="s">
        <v>20</v>
      </c>
      <c r="E15" s="8" t="s">
        <v>12</v>
      </c>
      <c r="F15" s="5">
        <v>45772</v>
      </c>
      <c r="G15" s="27"/>
      <c r="J15" s="13" t="s">
        <v>61</v>
      </c>
      <c r="K15" s="76">
        <v>537.64125000000001</v>
      </c>
      <c r="L15"/>
    </row>
    <row r="16" spans="1:12" x14ac:dyDescent="0.25">
      <c r="A16" s="18" t="s">
        <v>78</v>
      </c>
      <c r="B16" s="3">
        <v>12.9</v>
      </c>
      <c r="C16" s="18" t="s">
        <v>8</v>
      </c>
      <c r="D16" s="18" t="s">
        <v>20</v>
      </c>
      <c r="E16" s="8" t="s">
        <v>12</v>
      </c>
      <c r="F16" s="5">
        <v>45775</v>
      </c>
      <c r="G16" s="27"/>
      <c r="J16" s="13" t="s">
        <v>16</v>
      </c>
      <c r="K16" s="76">
        <v>336.17500000000001</v>
      </c>
      <c r="L16"/>
    </row>
    <row r="17" spans="1:12" x14ac:dyDescent="0.25">
      <c r="A17" s="18" t="s">
        <v>79</v>
      </c>
      <c r="B17" s="3"/>
      <c r="C17" s="18" t="s">
        <v>8</v>
      </c>
      <c r="D17" s="18" t="s">
        <v>68</v>
      </c>
      <c r="E17" s="8" t="s">
        <v>12</v>
      </c>
      <c r="F17" s="5">
        <v>45777</v>
      </c>
      <c r="G17" s="27"/>
      <c r="J17" s="13" t="s">
        <v>14</v>
      </c>
      <c r="K17" s="76">
        <v>1256.4370000000001</v>
      </c>
      <c r="L17"/>
    </row>
    <row r="18" spans="1:12" x14ac:dyDescent="0.25">
      <c r="A18" s="18" t="s">
        <v>80</v>
      </c>
      <c r="B18" s="3">
        <v>604.1</v>
      </c>
      <c r="C18" s="18" t="s">
        <v>8</v>
      </c>
      <c r="D18" s="18" t="s">
        <v>68</v>
      </c>
      <c r="E18" s="8" t="s">
        <v>12</v>
      </c>
      <c r="F18" s="5">
        <v>45777</v>
      </c>
      <c r="G18" s="27"/>
      <c r="J18" s="13" t="s">
        <v>73</v>
      </c>
      <c r="K18" s="76">
        <v>19351.940000000002</v>
      </c>
      <c r="L18"/>
    </row>
    <row r="19" spans="1:12" x14ac:dyDescent="0.25">
      <c r="A19" s="18" t="s">
        <v>81</v>
      </c>
      <c r="B19" s="3">
        <v>113.7</v>
      </c>
      <c r="C19" s="18" t="s">
        <v>8</v>
      </c>
      <c r="D19" s="18" t="s">
        <v>68</v>
      </c>
      <c r="E19" s="8" t="s">
        <v>12</v>
      </c>
      <c r="F19" s="5">
        <v>45777</v>
      </c>
      <c r="G19" s="27"/>
      <c r="J19" s="13" t="s">
        <v>68</v>
      </c>
      <c r="K19" s="76">
        <v>2061.59</v>
      </c>
      <c r="L19"/>
    </row>
    <row r="20" spans="1:12" x14ac:dyDescent="0.25">
      <c r="A20" s="18" t="s">
        <v>82</v>
      </c>
      <c r="B20" s="3">
        <v>14.62</v>
      </c>
      <c r="C20" s="18" t="s">
        <v>8</v>
      </c>
      <c r="D20" s="18" t="s">
        <v>68</v>
      </c>
      <c r="E20" s="8" t="s">
        <v>12</v>
      </c>
      <c r="F20" s="5">
        <v>45777</v>
      </c>
      <c r="G20" s="27"/>
      <c r="J20" s="13" t="s">
        <v>36</v>
      </c>
      <c r="K20" s="76">
        <v>897.34</v>
      </c>
      <c r="L20"/>
    </row>
    <row r="21" spans="1:12" ht="15.75" customHeight="1" x14ac:dyDescent="0.25">
      <c r="A21" s="18" t="s">
        <v>83</v>
      </c>
      <c r="B21" s="3">
        <v>4266.25</v>
      </c>
      <c r="C21" s="18" t="s">
        <v>72</v>
      </c>
      <c r="D21" s="18" t="s">
        <v>73</v>
      </c>
      <c r="E21" s="8" t="s">
        <v>12</v>
      </c>
      <c r="F21" s="5">
        <v>45777</v>
      </c>
      <c r="G21" s="27"/>
      <c r="J21" s="13" t="s">
        <v>11</v>
      </c>
      <c r="K21" s="76">
        <v>1313.6141666666667</v>
      </c>
      <c r="L21"/>
    </row>
    <row r="22" spans="1:12" ht="15.75" customHeight="1" x14ac:dyDescent="0.25">
      <c r="A22" s="18" t="s">
        <v>84</v>
      </c>
      <c r="B22" s="3">
        <v>3695.72</v>
      </c>
      <c r="C22" s="18" t="s">
        <v>72</v>
      </c>
      <c r="D22" s="18" t="s">
        <v>73</v>
      </c>
      <c r="E22" s="8" t="s">
        <v>17</v>
      </c>
      <c r="F22" s="5">
        <v>45777</v>
      </c>
      <c r="G22" s="27"/>
      <c r="J22" s="13" t="s">
        <v>31</v>
      </c>
      <c r="K22" s="76">
        <v>407.7</v>
      </c>
      <c r="L22"/>
    </row>
    <row r="23" spans="1:12" ht="15.75" customHeight="1" x14ac:dyDescent="0.25">
      <c r="A23" s="18" t="s">
        <v>85</v>
      </c>
      <c r="B23" s="28">
        <v>25.9</v>
      </c>
      <c r="C23" s="18" t="s">
        <v>8</v>
      </c>
      <c r="D23" s="18" t="s">
        <v>20</v>
      </c>
      <c r="E23" s="8" t="s">
        <v>12</v>
      </c>
      <c r="F23" s="5">
        <v>45795</v>
      </c>
      <c r="G23" s="27"/>
      <c r="J23" s="13" t="s">
        <v>118</v>
      </c>
      <c r="K23" s="76">
        <v>1263.1199999999999</v>
      </c>
      <c r="L23"/>
    </row>
    <row r="24" spans="1:12" ht="15.75" customHeight="1" x14ac:dyDescent="0.25">
      <c r="A24" s="29" t="s">
        <v>315</v>
      </c>
      <c r="B24" s="3">
        <f>877.5/12</f>
        <v>73.125</v>
      </c>
      <c r="C24" s="2" t="s">
        <v>8</v>
      </c>
      <c r="D24" s="2" t="s">
        <v>16</v>
      </c>
      <c r="E24" s="8" t="s">
        <v>12</v>
      </c>
      <c r="F24" s="5">
        <v>45629</v>
      </c>
      <c r="G24" s="31" t="s">
        <v>298</v>
      </c>
      <c r="J24" s="15" t="s">
        <v>130</v>
      </c>
      <c r="K24" s="77">
        <v>34458.372583333337</v>
      </c>
      <c r="L24"/>
    </row>
    <row r="25" spans="1:12" ht="15.75" customHeight="1" x14ac:dyDescent="0.25">
      <c r="A25" s="30" t="s">
        <v>337</v>
      </c>
      <c r="B25" s="28">
        <v>46.61</v>
      </c>
      <c r="C25" s="2" t="s">
        <v>8</v>
      </c>
      <c r="D25" s="18" t="s">
        <v>22</v>
      </c>
      <c r="E25" s="18" t="s">
        <v>12</v>
      </c>
      <c r="F25" s="5">
        <v>45657</v>
      </c>
      <c r="G25" s="31" t="s">
        <v>310</v>
      </c>
      <c r="J25"/>
      <c r="K25"/>
    </row>
    <row r="26" spans="1:12" ht="15.75" customHeight="1" x14ac:dyDescent="0.25">
      <c r="A26" s="29" t="s">
        <v>338</v>
      </c>
      <c r="B26" s="3">
        <v>51.68</v>
      </c>
      <c r="C26" s="2" t="s">
        <v>8</v>
      </c>
      <c r="D26" s="2" t="s">
        <v>11</v>
      </c>
      <c r="E26" s="8" t="s">
        <v>12</v>
      </c>
      <c r="F26" s="5">
        <v>45643</v>
      </c>
      <c r="G26" s="31" t="s">
        <v>334</v>
      </c>
      <c r="J26"/>
      <c r="K26"/>
    </row>
    <row r="27" spans="1:12" ht="15.75" customHeight="1" x14ac:dyDescent="0.25">
      <c r="A27" s="30" t="s">
        <v>316</v>
      </c>
      <c r="B27" s="28">
        <v>346.14</v>
      </c>
      <c r="C27" s="2" t="s">
        <v>8</v>
      </c>
      <c r="D27" s="18" t="s">
        <v>108</v>
      </c>
      <c r="E27" s="18" t="s">
        <v>12</v>
      </c>
      <c r="F27" s="5">
        <v>45657</v>
      </c>
      <c r="G27" s="31" t="s">
        <v>335</v>
      </c>
      <c r="J27"/>
      <c r="K27"/>
    </row>
    <row r="28" spans="1:12" ht="15.75" customHeight="1" x14ac:dyDescent="0.25">
      <c r="A28" s="29" t="s">
        <v>339</v>
      </c>
      <c r="B28" s="3">
        <v>33.36</v>
      </c>
      <c r="C28" s="2" t="s">
        <v>8</v>
      </c>
      <c r="D28" s="2" t="s">
        <v>11</v>
      </c>
      <c r="E28" s="18" t="s">
        <v>12</v>
      </c>
      <c r="F28" s="5">
        <v>45639</v>
      </c>
      <c r="G28" s="31" t="s">
        <v>336</v>
      </c>
      <c r="J28"/>
      <c r="K28"/>
    </row>
    <row r="29" spans="1:12" ht="15.75" customHeight="1" x14ac:dyDescent="0.25">
      <c r="A29" s="30" t="s">
        <v>340</v>
      </c>
      <c r="B29" s="28">
        <v>27.01</v>
      </c>
      <c r="C29" s="2" t="s">
        <v>8</v>
      </c>
      <c r="D29" s="18" t="s">
        <v>22</v>
      </c>
      <c r="E29" s="18" t="s">
        <v>12</v>
      </c>
      <c r="F29" s="5">
        <v>45657</v>
      </c>
      <c r="G29" s="31" t="s">
        <v>328</v>
      </c>
      <c r="J29"/>
      <c r="K29"/>
    </row>
    <row r="30" spans="1:12" ht="15.75" customHeight="1" x14ac:dyDescent="0.25">
      <c r="A30" s="30" t="s">
        <v>341</v>
      </c>
      <c r="B30" s="3">
        <v>95.62</v>
      </c>
      <c r="C30" s="18" t="s">
        <v>8</v>
      </c>
      <c r="D30" s="18" t="s">
        <v>14</v>
      </c>
      <c r="E30" s="8" t="s">
        <v>12</v>
      </c>
      <c r="F30" s="5">
        <v>45663</v>
      </c>
      <c r="G30" s="31" t="s">
        <v>302</v>
      </c>
      <c r="J30"/>
      <c r="K30"/>
    </row>
    <row r="31" spans="1:12" ht="15.75" customHeight="1" x14ac:dyDescent="0.25">
      <c r="A31" s="30" t="s">
        <v>318</v>
      </c>
      <c r="B31" s="3">
        <v>68.8</v>
      </c>
      <c r="C31" s="18" t="s">
        <v>8</v>
      </c>
      <c r="D31" s="18" t="s">
        <v>22</v>
      </c>
      <c r="E31" s="8" t="s">
        <v>12</v>
      </c>
      <c r="F31" s="5">
        <v>45668</v>
      </c>
      <c r="G31" s="31" t="s">
        <v>297</v>
      </c>
      <c r="J31"/>
      <c r="K31"/>
    </row>
    <row r="32" spans="1:12" ht="15.75" customHeight="1" x14ac:dyDescent="0.25">
      <c r="A32" s="29" t="s">
        <v>342</v>
      </c>
      <c r="B32" s="3">
        <f>216/6</f>
        <v>36</v>
      </c>
      <c r="C32" s="2" t="s">
        <v>8</v>
      </c>
      <c r="D32" s="2" t="s">
        <v>22</v>
      </c>
      <c r="E32" s="2" t="s">
        <v>12</v>
      </c>
      <c r="F32" s="5">
        <v>45680</v>
      </c>
      <c r="G32" s="31" t="s">
        <v>328</v>
      </c>
      <c r="J32"/>
      <c r="K32"/>
    </row>
    <row r="33" spans="1:11" ht="15.75" customHeight="1" x14ac:dyDescent="0.25">
      <c r="A33" s="29" t="s">
        <v>343</v>
      </c>
      <c r="B33" s="3">
        <f>598.8/12</f>
        <v>49.9</v>
      </c>
      <c r="C33" s="2" t="s">
        <v>8</v>
      </c>
      <c r="D33" s="2" t="s">
        <v>20</v>
      </c>
      <c r="E33" s="2" t="s">
        <v>12</v>
      </c>
      <c r="F33" s="5">
        <v>45681</v>
      </c>
      <c r="G33" s="31" t="s">
        <v>297</v>
      </c>
      <c r="J33"/>
      <c r="K33"/>
    </row>
    <row r="34" spans="1:11" ht="15.75" customHeight="1" x14ac:dyDescent="0.25">
      <c r="A34" s="29" t="s">
        <v>344</v>
      </c>
      <c r="B34" s="3">
        <f>197.94/6</f>
        <v>32.99</v>
      </c>
      <c r="C34" s="2" t="s">
        <v>8</v>
      </c>
      <c r="D34" s="2" t="s">
        <v>11</v>
      </c>
      <c r="E34" s="8" t="s">
        <v>12</v>
      </c>
      <c r="F34" s="5">
        <v>45683</v>
      </c>
      <c r="G34" s="31" t="s">
        <v>328</v>
      </c>
      <c r="J34"/>
      <c r="K34"/>
    </row>
    <row r="35" spans="1:11" ht="15.75" customHeight="1" x14ac:dyDescent="0.25">
      <c r="A35" s="29" t="s">
        <v>345</v>
      </c>
      <c r="B35" s="3">
        <f>595/4</f>
        <v>148.75</v>
      </c>
      <c r="C35" s="2" t="s">
        <v>8</v>
      </c>
      <c r="D35" s="2" t="s">
        <v>14</v>
      </c>
      <c r="E35" s="8" t="s">
        <v>12</v>
      </c>
      <c r="F35" s="5">
        <v>45685</v>
      </c>
      <c r="G35" s="31" t="s">
        <v>302</v>
      </c>
      <c r="J35"/>
      <c r="K35"/>
    </row>
    <row r="36" spans="1:11" ht="15.75" customHeight="1" x14ac:dyDescent="0.25">
      <c r="A36" s="29" t="s">
        <v>346</v>
      </c>
      <c r="B36" s="3">
        <f>(145.67+64.44)/5</f>
        <v>42.021999999999998</v>
      </c>
      <c r="C36" s="2" t="s">
        <v>8</v>
      </c>
      <c r="D36" s="2" t="s">
        <v>14</v>
      </c>
      <c r="E36" s="8" t="s">
        <v>12</v>
      </c>
      <c r="F36" s="8">
        <v>45691</v>
      </c>
      <c r="G36" s="31" t="s">
        <v>308</v>
      </c>
      <c r="J36"/>
      <c r="K36"/>
    </row>
    <row r="37" spans="1:11" ht="15.75" customHeight="1" x14ac:dyDescent="0.25">
      <c r="A37" s="29" t="s">
        <v>347</v>
      </c>
      <c r="B37" s="3">
        <f>44.54*2/5</f>
        <v>17.815999999999999</v>
      </c>
      <c r="C37" s="2" t="s">
        <v>8</v>
      </c>
      <c r="D37" s="2" t="s">
        <v>22</v>
      </c>
      <c r="E37" s="8" t="s">
        <v>12</v>
      </c>
      <c r="F37" s="8">
        <v>45691</v>
      </c>
      <c r="G37" s="31" t="s">
        <v>308</v>
      </c>
      <c r="J37"/>
      <c r="K37"/>
    </row>
    <row r="38" spans="1:11" ht="15.75" customHeight="1" x14ac:dyDescent="0.25">
      <c r="A38" s="29" t="s">
        <v>348</v>
      </c>
      <c r="B38" s="3">
        <v>42.66</v>
      </c>
      <c r="C38" s="2" t="s">
        <v>8</v>
      </c>
      <c r="D38" s="2" t="s">
        <v>11</v>
      </c>
      <c r="E38" s="2" t="s">
        <v>12</v>
      </c>
      <c r="F38" s="8">
        <v>45698</v>
      </c>
      <c r="G38" s="31" t="s">
        <v>331</v>
      </c>
      <c r="J38"/>
      <c r="K38"/>
    </row>
    <row r="39" spans="1:11" ht="15.75" customHeight="1" x14ac:dyDescent="0.25">
      <c r="A39" s="29" t="s">
        <v>349</v>
      </c>
      <c r="B39" s="3">
        <v>11.87</v>
      </c>
      <c r="C39" s="2" t="s">
        <v>8</v>
      </c>
      <c r="D39" s="2" t="s">
        <v>11</v>
      </c>
      <c r="E39" s="2" t="s">
        <v>17</v>
      </c>
      <c r="F39" s="8">
        <v>45699</v>
      </c>
      <c r="G39" s="31" t="s">
        <v>308</v>
      </c>
      <c r="J39"/>
      <c r="K39"/>
    </row>
    <row r="40" spans="1:11" ht="15.75" customHeight="1" x14ac:dyDescent="0.25">
      <c r="A40" s="29" t="s">
        <v>350</v>
      </c>
      <c r="B40" s="3">
        <f>199/6</f>
        <v>33.166666666666664</v>
      </c>
      <c r="C40" s="2" t="s">
        <v>8</v>
      </c>
      <c r="D40" s="2" t="s">
        <v>114</v>
      </c>
      <c r="E40" s="2" t="s">
        <v>12</v>
      </c>
      <c r="F40" s="8">
        <v>45701</v>
      </c>
      <c r="G40" s="31" t="s">
        <v>331</v>
      </c>
      <c r="J40"/>
      <c r="K40"/>
    </row>
    <row r="41" spans="1:11" ht="15.75" customHeight="1" x14ac:dyDescent="0.25">
      <c r="A41" s="29" t="s">
        <v>351</v>
      </c>
      <c r="B41" s="3">
        <f>29.4/5</f>
        <v>5.88</v>
      </c>
      <c r="C41" s="2" t="s">
        <v>8</v>
      </c>
      <c r="D41" s="2" t="s">
        <v>11</v>
      </c>
      <c r="E41" s="2" t="s">
        <v>17</v>
      </c>
      <c r="F41" s="8">
        <v>45705</v>
      </c>
      <c r="G41" s="31" t="s">
        <v>308</v>
      </c>
      <c r="J41"/>
      <c r="K41"/>
    </row>
    <row r="42" spans="1:11" ht="15.75" customHeight="1" x14ac:dyDescent="0.25">
      <c r="A42" s="29" t="s">
        <v>352</v>
      </c>
      <c r="B42" s="3">
        <v>116.33</v>
      </c>
      <c r="C42" s="2" t="s">
        <v>8</v>
      </c>
      <c r="D42" s="2" t="s">
        <v>11</v>
      </c>
      <c r="E42" s="2" t="s">
        <v>12</v>
      </c>
      <c r="F42" s="8">
        <v>45710</v>
      </c>
      <c r="G42" s="31" t="s">
        <v>331</v>
      </c>
      <c r="J42"/>
      <c r="K42"/>
    </row>
    <row r="43" spans="1:11" ht="15.75" customHeight="1" x14ac:dyDescent="0.25">
      <c r="A43" s="17" t="s">
        <v>282</v>
      </c>
      <c r="B43" s="23">
        <v>39.134999999999998</v>
      </c>
      <c r="C43" s="18" t="s">
        <v>8</v>
      </c>
      <c r="D43" s="18" t="s">
        <v>22</v>
      </c>
      <c r="E43" s="17" t="s">
        <v>12</v>
      </c>
      <c r="F43" s="26">
        <v>45718</v>
      </c>
      <c r="G43" s="27" t="s">
        <v>295</v>
      </c>
      <c r="J43"/>
      <c r="K43"/>
    </row>
    <row r="44" spans="1:11" ht="15.75" customHeight="1" x14ac:dyDescent="0.25">
      <c r="A44" s="17" t="s">
        <v>284</v>
      </c>
      <c r="B44" s="23">
        <v>173.72499999999999</v>
      </c>
      <c r="C44" s="18" t="s">
        <v>8</v>
      </c>
      <c r="D44" s="18" t="s">
        <v>14</v>
      </c>
      <c r="E44" s="17" t="s">
        <v>12</v>
      </c>
      <c r="F44" s="26">
        <v>45719</v>
      </c>
      <c r="G44" s="27" t="s">
        <v>300</v>
      </c>
      <c r="J44"/>
      <c r="K44"/>
    </row>
    <row r="45" spans="1:11" ht="15.75" customHeight="1" x14ac:dyDescent="0.25">
      <c r="A45" s="17" t="s">
        <v>286</v>
      </c>
      <c r="B45" s="23">
        <v>86.833333333333329</v>
      </c>
      <c r="C45" s="18" t="s">
        <v>8</v>
      </c>
      <c r="D45" s="18" t="s">
        <v>14</v>
      </c>
      <c r="E45" s="17" t="s">
        <v>12</v>
      </c>
      <c r="F45" s="26">
        <v>45719</v>
      </c>
      <c r="G45" s="27" t="s">
        <v>304</v>
      </c>
      <c r="J45"/>
      <c r="K45"/>
    </row>
    <row r="46" spans="1:11" ht="15.75" customHeight="1" x14ac:dyDescent="0.25">
      <c r="A46" s="17" t="s">
        <v>287</v>
      </c>
      <c r="B46" s="23">
        <v>57.179999999999993</v>
      </c>
      <c r="C46" s="18" t="s">
        <v>8</v>
      </c>
      <c r="D46" s="18" t="s">
        <v>22</v>
      </c>
      <c r="E46" s="17" t="s">
        <v>12</v>
      </c>
      <c r="F46" s="26">
        <v>45719</v>
      </c>
      <c r="G46" s="27" t="s">
        <v>307</v>
      </c>
      <c r="J46"/>
      <c r="K46"/>
    </row>
    <row r="47" spans="1:11" ht="15.75" customHeight="1" x14ac:dyDescent="0.25">
      <c r="A47" s="17" t="s">
        <v>288</v>
      </c>
      <c r="B47" s="23">
        <v>51.137500000000003</v>
      </c>
      <c r="C47" s="18" t="s">
        <v>8</v>
      </c>
      <c r="D47" s="18" t="s">
        <v>11</v>
      </c>
      <c r="E47" s="17" t="s">
        <v>12</v>
      </c>
      <c r="F47" s="26">
        <v>45719</v>
      </c>
      <c r="G47" s="27" t="s">
        <v>300</v>
      </c>
      <c r="J47"/>
      <c r="K47"/>
    </row>
    <row r="48" spans="1:11" ht="15.75" customHeight="1" x14ac:dyDescent="0.25">
      <c r="A48" s="17" t="s">
        <v>290</v>
      </c>
      <c r="B48" s="23">
        <v>52.987499999999997</v>
      </c>
      <c r="C48" s="18" t="s">
        <v>8</v>
      </c>
      <c r="D48" s="18" t="s">
        <v>61</v>
      </c>
      <c r="E48" s="17" t="s">
        <v>12</v>
      </c>
      <c r="F48" s="26">
        <v>45721</v>
      </c>
      <c r="G48" s="27" t="s">
        <v>300</v>
      </c>
      <c r="J48"/>
      <c r="K48"/>
    </row>
    <row r="49" spans="1:11" ht="15.75" customHeight="1" x14ac:dyDescent="0.25">
      <c r="A49" s="17" t="s">
        <v>384</v>
      </c>
      <c r="B49" s="44">
        <v>27.408333333333331</v>
      </c>
      <c r="C49" s="18" t="s">
        <v>8</v>
      </c>
      <c r="D49" s="18" t="s">
        <v>11</v>
      </c>
      <c r="E49" s="17" t="s">
        <v>12</v>
      </c>
      <c r="F49" s="26">
        <v>45731</v>
      </c>
      <c r="G49" s="27" t="s">
        <v>332</v>
      </c>
      <c r="J49"/>
      <c r="K49"/>
    </row>
    <row r="50" spans="1:11" ht="15.75" customHeight="1" x14ac:dyDescent="0.25">
      <c r="A50" s="17" t="s">
        <v>385</v>
      </c>
      <c r="B50" s="44">
        <v>27.406666666666666</v>
      </c>
      <c r="C50" s="18" t="s">
        <v>8</v>
      </c>
      <c r="D50" s="18" t="s">
        <v>14</v>
      </c>
      <c r="E50" s="17" t="s">
        <v>12</v>
      </c>
      <c r="F50" s="26">
        <v>45731</v>
      </c>
      <c r="G50" s="27" t="s">
        <v>332</v>
      </c>
      <c r="J50"/>
      <c r="K50"/>
    </row>
    <row r="51" spans="1:11" ht="15.75" customHeight="1" x14ac:dyDescent="0.25">
      <c r="A51" s="17" t="s">
        <v>391</v>
      </c>
      <c r="B51" s="47">
        <v>36.907499999999999</v>
      </c>
      <c r="C51" s="18" t="s">
        <v>8</v>
      </c>
      <c r="D51" s="18" t="s">
        <v>22</v>
      </c>
      <c r="E51" s="17" t="s">
        <v>17</v>
      </c>
      <c r="F51" s="26">
        <v>45734</v>
      </c>
      <c r="G51" s="27" t="s">
        <v>295</v>
      </c>
      <c r="J51"/>
      <c r="K51"/>
    </row>
    <row r="52" spans="1:11" ht="15.75" customHeight="1" x14ac:dyDescent="0.25">
      <c r="A52" s="17" t="s">
        <v>392</v>
      </c>
      <c r="B52" s="47">
        <v>133.25</v>
      </c>
      <c r="C52" s="18" t="s">
        <v>8</v>
      </c>
      <c r="D52" s="18" t="s">
        <v>22</v>
      </c>
      <c r="E52" s="17" t="s">
        <v>17</v>
      </c>
      <c r="F52" s="26">
        <v>45734</v>
      </c>
      <c r="G52" s="27" t="s">
        <v>295</v>
      </c>
      <c r="J52"/>
      <c r="K52"/>
    </row>
    <row r="53" spans="1:11" ht="15.75" customHeight="1" x14ac:dyDescent="0.25">
      <c r="A53" s="17" t="s">
        <v>394</v>
      </c>
      <c r="B53" s="51">
        <v>86.54</v>
      </c>
      <c r="C53" s="18" t="s">
        <v>8</v>
      </c>
      <c r="D53" s="18" t="s">
        <v>11</v>
      </c>
      <c r="E53" s="17" t="s">
        <v>17</v>
      </c>
      <c r="F53" s="26">
        <v>45738</v>
      </c>
      <c r="G53" s="27" t="s">
        <v>304</v>
      </c>
      <c r="J53"/>
      <c r="K53"/>
    </row>
    <row r="54" spans="1:11" ht="15.75" customHeight="1" x14ac:dyDescent="0.25">
      <c r="A54" s="17" t="s">
        <v>13</v>
      </c>
      <c r="B54" s="51">
        <v>81.03</v>
      </c>
      <c r="C54" s="18" t="s">
        <v>8</v>
      </c>
      <c r="D54" s="18" t="s">
        <v>14</v>
      </c>
      <c r="E54" s="17" t="s">
        <v>12</v>
      </c>
      <c r="F54" s="26">
        <v>45738</v>
      </c>
      <c r="G54" s="27" t="s">
        <v>327</v>
      </c>
      <c r="J54"/>
      <c r="K54"/>
    </row>
    <row r="55" spans="1:11" ht="15.75" customHeight="1" x14ac:dyDescent="0.25">
      <c r="A55" s="17" t="s">
        <v>400</v>
      </c>
      <c r="B55" s="54">
        <v>54.991666666666667</v>
      </c>
      <c r="C55" s="18" t="s">
        <v>8</v>
      </c>
      <c r="D55" s="18" t="s">
        <v>11</v>
      </c>
      <c r="E55" s="17" t="s">
        <v>12</v>
      </c>
      <c r="F55" s="26">
        <v>45742</v>
      </c>
      <c r="G55" s="27" t="s">
        <v>332</v>
      </c>
      <c r="J55"/>
      <c r="K55"/>
    </row>
    <row r="56" spans="1:11" ht="15.75" customHeight="1" x14ac:dyDescent="0.25">
      <c r="A56" s="17" t="s">
        <v>407</v>
      </c>
      <c r="B56" s="56">
        <v>99.596666666666678</v>
      </c>
      <c r="C56" s="18" t="s">
        <v>8</v>
      </c>
      <c r="D56" s="18" t="s">
        <v>11</v>
      </c>
      <c r="E56" s="17" t="s">
        <v>12</v>
      </c>
      <c r="F56" s="26">
        <v>45746</v>
      </c>
      <c r="G56" s="26" t="s">
        <v>304</v>
      </c>
      <c r="J56"/>
      <c r="K56"/>
    </row>
    <row r="57" spans="1:11" ht="15.75" customHeight="1" x14ac:dyDescent="0.25">
      <c r="A57" s="59" t="s">
        <v>410</v>
      </c>
      <c r="B57" s="57">
        <v>7.5</v>
      </c>
      <c r="C57" s="18" t="s">
        <v>8</v>
      </c>
      <c r="D57" t="s">
        <v>14</v>
      </c>
      <c r="E57" t="s">
        <v>12</v>
      </c>
      <c r="F57" s="26">
        <v>45747</v>
      </c>
      <c r="G57" s="60" t="s">
        <v>293</v>
      </c>
      <c r="J57"/>
      <c r="K57"/>
    </row>
    <row r="58" spans="1:11" ht="15.75" customHeight="1" x14ac:dyDescent="0.25">
      <c r="A58" s="17" t="s">
        <v>411</v>
      </c>
      <c r="B58" s="57">
        <v>15</v>
      </c>
      <c r="C58" s="18" t="s">
        <v>8</v>
      </c>
      <c r="D58" s="18" t="s">
        <v>16</v>
      </c>
      <c r="E58" s="17" t="s">
        <v>17</v>
      </c>
      <c r="F58" s="26">
        <v>45748</v>
      </c>
      <c r="G58" s="27" t="s">
        <v>293</v>
      </c>
      <c r="J58"/>
      <c r="K58"/>
    </row>
    <row r="59" spans="1:11" ht="15.75" customHeight="1" x14ac:dyDescent="0.25">
      <c r="A59" s="17" t="s">
        <v>412</v>
      </c>
      <c r="B59" s="58">
        <v>36.6</v>
      </c>
      <c r="C59" s="18" t="s">
        <v>8</v>
      </c>
      <c r="D59" s="18" t="s">
        <v>11</v>
      </c>
      <c r="E59" s="17" t="s">
        <v>17</v>
      </c>
      <c r="F59" s="26">
        <v>45749</v>
      </c>
      <c r="G59" s="27" t="s">
        <v>293</v>
      </c>
      <c r="J59"/>
      <c r="K59"/>
    </row>
    <row r="60" spans="1:11" ht="15.75" customHeight="1" x14ac:dyDescent="0.25">
      <c r="A60" s="17" t="s">
        <v>413</v>
      </c>
      <c r="B60" s="61">
        <v>50</v>
      </c>
      <c r="C60" s="18" t="s">
        <v>8</v>
      </c>
      <c r="D60" s="18" t="s">
        <v>14</v>
      </c>
      <c r="E60" s="17" t="s">
        <v>17</v>
      </c>
      <c r="F60" s="26">
        <v>45750</v>
      </c>
      <c r="G60" s="27" t="s">
        <v>293</v>
      </c>
      <c r="J60"/>
      <c r="K60"/>
    </row>
    <row r="61" spans="1:11" ht="15.75" customHeight="1" x14ac:dyDescent="0.25">
      <c r="A61" s="17" t="s">
        <v>25</v>
      </c>
      <c r="B61" s="62">
        <v>35</v>
      </c>
      <c r="C61" s="18" t="s">
        <v>8</v>
      </c>
      <c r="D61" s="18" t="s">
        <v>26</v>
      </c>
      <c r="E61" s="17" t="s">
        <v>17</v>
      </c>
      <c r="F61" s="26">
        <v>45751</v>
      </c>
      <c r="G61" s="27" t="s">
        <v>293</v>
      </c>
      <c r="J61"/>
      <c r="K61"/>
    </row>
    <row r="62" spans="1:11" ht="15.75" customHeight="1" x14ac:dyDescent="0.25">
      <c r="A62" s="17" t="s">
        <v>403</v>
      </c>
      <c r="B62" s="62">
        <v>133</v>
      </c>
      <c r="C62" s="18" t="s">
        <v>8</v>
      </c>
      <c r="D62" s="18" t="s">
        <v>36</v>
      </c>
      <c r="E62" s="17" t="s">
        <v>12</v>
      </c>
      <c r="F62" s="26">
        <v>45751</v>
      </c>
      <c r="G62" s="27" t="s">
        <v>293</v>
      </c>
      <c r="J62"/>
      <c r="K62"/>
    </row>
    <row r="63" spans="1:11" ht="15.75" customHeight="1" x14ac:dyDescent="0.25">
      <c r="A63" s="17" t="s">
        <v>415</v>
      </c>
      <c r="B63" s="64">
        <v>42</v>
      </c>
      <c r="C63" s="18" t="s">
        <v>8</v>
      </c>
      <c r="D63" s="18" t="s">
        <v>16</v>
      </c>
      <c r="E63" s="17" t="s">
        <v>12</v>
      </c>
      <c r="F63" s="26">
        <v>45752</v>
      </c>
      <c r="G63" s="27" t="s">
        <v>293</v>
      </c>
      <c r="J63"/>
      <c r="K63"/>
    </row>
    <row r="64" spans="1:11" ht="15.75" customHeight="1" x14ac:dyDescent="0.25">
      <c r="A64" s="17" t="s">
        <v>416</v>
      </c>
      <c r="B64" s="64">
        <v>37.6</v>
      </c>
      <c r="C64" s="18" t="s">
        <v>8</v>
      </c>
      <c r="D64" s="18" t="s">
        <v>11</v>
      </c>
      <c r="E64" s="17" t="s">
        <v>12</v>
      </c>
      <c r="F64" s="26">
        <v>45752</v>
      </c>
      <c r="G64" s="27" t="s">
        <v>397</v>
      </c>
      <c r="J64"/>
      <c r="K64"/>
    </row>
    <row r="65" spans="1:11" ht="15.75" customHeight="1" x14ac:dyDescent="0.25">
      <c r="A65" s="17" t="s">
        <v>417</v>
      </c>
      <c r="B65" s="64">
        <v>40.465000000000003</v>
      </c>
      <c r="C65" s="18" t="s">
        <v>8</v>
      </c>
      <c r="D65" s="18" t="s">
        <v>61</v>
      </c>
      <c r="E65" s="17" t="s">
        <v>12</v>
      </c>
      <c r="F65" s="26">
        <v>45753</v>
      </c>
      <c r="G65" s="27" t="s">
        <v>397</v>
      </c>
      <c r="J65"/>
      <c r="K65"/>
    </row>
    <row r="66" spans="1:11" ht="15.75" customHeight="1" x14ac:dyDescent="0.25">
      <c r="A66" s="17" t="s">
        <v>418</v>
      </c>
      <c r="B66" s="64">
        <v>52.28875</v>
      </c>
      <c r="C66" s="18" t="s">
        <v>8</v>
      </c>
      <c r="D66" s="18" t="s">
        <v>61</v>
      </c>
      <c r="E66" s="17" t="s">
        <v>12</v>
      </c>
      <c r="F66" s="26">
        <v>45753</v>
      </c>
      <c r="G66" s="27" t="s">
        <v>419</v>
      </c>
      <c r="J66"/>
      <c r="K66"/>
    </row>
    <row r="67" spans="1:11" ht="15.75" customHeight="1" x14ac:dyDescent="0.25">
      <c r="A67" s="17" t="s">
        <v>176</v>
      </c>
      <c r="B67" s="64">
        <v>5</v>
      </c>
      <c r="C67" s="18" t="s">
        <v>8</v>
      </c>
      <c r="D67" s="18" t="s">
        <v>63</v>
      </c>
      <c r="E67" s="17" t="s">
        <v>12</v>
      </c>
      <c r="F67" s="26">
        <v>45753</v>
      </c>
      <c r="G67" s="27" t="s">
        <v>293</v>
      </c>
      <c r="J67"/>
      <c r="K67"/>
    </row>
    <row r="68" spans="1:11" ht="15.75" customHeight="1" x14ac:dyDescent="0.25">
      <c r="A68" s="17" t="s">
        <v>120</v>
      </c>
      <c r="B68" s="64">
        <v>12.69</v>
      </c>
      <c r="C68" s="18" t="s">
        <v>8</v>
      </c>
      <c r="D68" s="18" t="s">
        <v>31</v>
      </c>
      <c r="E68" s="17" t="s">
        <v>12</v>
      </c>
      <c r="F68" s="26">
        <v>45754</v>
      </c>
      <c r="G68" s="27" t="s">
        <v>293</v>
      </c>
      <c r="J68"/>
      <c r="K68"/>
    </row>
    <row r="69" spans="1:11" ht="15.75" customHeight="1" x14ac:dyDescent="0.25">
      <c r="A69" s="17" t="s">
        <v>422</v>
      </c>
      <c r="B69" s="64">
        <v>27.995000000000001</v>
      </c>
      <c r="C69" s="18" t="s">
        <v>8</v>
      </c>
      <c r="D69" s="18" t="s">
        <v>11</v>
      </c>
      <c r="E69" s="17" t="s">
        <v>12</v>
      </c>
      <c r="F69" s="26">
        <v>45754</v>
      </c>
      <c r="G69" s="27" t="s">
        <v>397</v>
      </c>
      <c r="J69"/>
      <c r="K69"/>
    </row>
    <row r="70" spans="1:11" ht="15.75" customHeight="1" x14ac:dyDescent="0.25">
      <c r="A70" s="17" t="s">
        <v>423</v>
      </c>
      <c r="B70" s="64">
        <v>135</v>
      </c>
      <c r="C70" s="18" t="s">
        <v>8</v>
      </c>
      <c r="D70" s="18" t="s">
        <v>11</v>
      </c>
      <c r="E70" s="17" t="s">
        <v>17</v>
      </c>
      <c r="F70" s="26">
        <v>45755</v>
      </c>
      <c r="G70" s="27" t="s">
        <v>293</v>
      </c>
      <c r="J70"/>
      <c r="K70"/>
    </row>
    <row r="71" spans="1:11" ht="15.75" customHeight="1" x14ac:dyDescent="0.25">
      <c r="A71" s="17" t="s">
        <v>120</v>
      </c>
      <c r="B71" s="64">
        <v>9.3000000000000007</v>
      </c>
      <c r="C71" s="18" t="s">
        <v>8</v>
      </c>
      <c r="D71" s="18" t="s">
        <v>31</v>
      </c>
      <c r="E71" s="17" t="s">
        <v>12</v>
      </c>
      <c r="F71" s="26">
        <v>45755</v>
      </c>
      <c r="G71" s="27" t="s">
        <v>293</v>
      </c>
      <c r="J71"/>
      <c r="K71"/>
    </row>
    <row r="72" spans="1:11" ht="15.75" customHeight="1" x14ac:dyDescent="0.25">
      <c r="A72" s="17" t="s">
        <v>120</v>
      </c>
      <c r="B72" s="65">
        <v>8.1</v>
      </c>
      <c r="C72" s="18" t="s">
        <v>8</v>
      </c>
      <c r="D72" s="18" t="s">
        <v>31</v>
      </c>
      <c r="E72" s="17" t="s">
        <v>12</v>
      </c>
      <c r="F72" s="26">
        <v>45755</v>
      </c>
      <c r="G72" s="27" t="s">
        <v>293</v>
      </c>
      <c r="J72"/>
      <c r="K72"/>
    </row>
    <row r="73" spans="1:11" ht="15.75" customHeight="1" x14ac:dyDescent="0.25">
      <c r="A73" s="17" t="s">
        <v>424</v>
      </c>
      <c r="B73" s="66">
        <v>155</v>
      </c>
      <c r="C73" s="18" t="s">
        <v>8</v>
      </c>
      <c r="D73" s="18" t="s">
        <v>14</v>
      </c>
      <c r="E73" s="17" t="s">
        <v>17</v>
      </c>
      <c r="F73" s="26">
        <v>45754</v>
      </c>
      <c r="G73" s="27" t="s">
        <v>293</v>
      </c>
      <c r="J73"/>
      <c r="K73"/>
    </row>
    <row r="74" spans="1:11" ht="15.75" customHeight="1" x14ac:dyDescent="0.25">
      <c r="A74" s="17" t="s">
        <v>25</v>
      </c>
      <c r="B74" s="66">
        <v>50</v>
      </c>
      <c r="C74" s="18" t="s">
        <v>8</v>
      </c>
      <c r="D74" s="18" t="s">
        <v>26</v>
      </c>
      <c r="E74" s="17" t="s">
        <v>17</v>
      </c>
      <c r="F74" s="26">
        <v>45755</v>
      </c>
      <c r="G74" s="27" t="s">
        <v>293</v>
      </c>
      <c r="J74"/>
      <c r="K74"/>
    </row>
    <row r="75" spans="1:11" ht="15.75" customHeight="1" x14ac:dyDescent="0.25">
      <c r="A75" s="17" t="s">
        <v>425</v>
      </c>
      <c r="B75" s="66">
        <v>33.799999999999997</v>
      </c>
      <c r="C75" s="18" t="s">
        <v>8</v>
      </c>
      <c r="D75" s="18" t="s">
        <v>36</v>
      </c>
      <c r="E75" s="17" t="s">
        <v>17</v>
      </c>
      <c r="F75" s="26">
        <v>45756</v>
      </c>
      <c r="G75" s="27" t="s">
        <v>293</v>
      </c>
      <c r="J75"/>
      <c r="K75"/>
    </row>
    <row r="76" spans="1:11" ht="15.75" customHeight="1" x14ac:dyDescent="0.25">
      <c r="A76" s="17" t="s">
        <v>426</v>
      </c>
      <c r="B76" s="66">
        <v>4</v>
      </c>
      <c r="C76" s="18" t="s">
        <v>8</v>
      </c>
      <c r="D76" s="18" t="s">
        <v>11</v>
      </c>
      <c r="E76" s="17" t="s">
        <v>17</v>
      </c>
      <c r="F76" s="26">
        <v>45756</v>
      </c>
      <c r="G76" s="27" t="s">
        <v>293</v>
      </c>
      <c r="J76"/>
      <c r="K76"/>
    </row>
    <row r="77" spans="1:11" ht="15.75" customHeight="1" x14ac:dyDescent="0.25">
      <c r="A77" s="17" t="s">
        <v>120</v>
      </c>
      <c r="B77" s="68">
        <v>25.2</v>
      </c>
      <c r="C77" s="18" t="s">
        <v>8</v>
      </c>
      <c r="D77" s="18" t="s">
        <v>31</v>
      </c>
      <c r="E77" s="17" t="s">
        <v>12</v>
      </c>
      <c r="F77" s="26">
        <v>45757</v>
      </c>
      <c r="G77" s="27" t="s">
        <v>293</v>
      </c>
      <c r="J77"/>
      <c r="K77"/>
    </row>
    <row r="78" spans="1:11" ht="15.75" customHeight="1" x14ac:dyDescent="0.25">
      <c r="A78" s="17" t="s">
        <v>120</v>
      </c>
      <c r="B78" s="68">
        <v>3.7</v>
      </c>
      <c r="C78" s="18" t="s">
        <v>8</v>
      </c>
      <c r="D78" s="18" t="s">
        <v>31</v>
      </c>
      <c r="E78" s="17" t="s">
        <v>12</v>
      </c>
      <c r="F78" s="26">
        <v>45757</v>
      </c>
      <c r="G78" s="27" t="s">
        <v>293</v>
      </c>
      <c r="J78"/>
      <c r="K78"/>
    </row>
    <row r="79" spans="1:11" ht="15.75" customHeight="1" x14ac:dyDescent="0.25">
      <c r="A79" s="17" t="s">
        <v>120</v>
      </c>
      <c r="B79" s="68">
        <v>21.4</v>
      </c>
      <c r="C79" s="18" t="s">
        <v>8</v>
      </c>
      <c r="D79" s="18" t="s">
        <v>31</v>
      </c>
      <c r="E79" s="17" t="s">
        <v>12</v>
      </c>
      <c r="F79" s="26">
        <v>45757</v>
      </c>
      <c r="G79" s="27" t="s">
        <v>293</v>
      </c>
      <c r="J79"/>
      <c r="K79"/>
    </row>
    <row r="80" spans="1:11" ht="15.75" customHeight="1" x14ac:dyDescent="0.25">
      <c r="A80" s="17" t="s">
        <v>120</v>
      </c>
      <c r="B80" s="68">
        <v>3.22</v>
      </c>
      <c r="C80" s="18" t="s">
        <v>8</v>
      </c>
      <c r="D80" s="18" t="s">
        <v>31</v>
      </c>
      <c r="E80" s="17" t="s">
        <v>12</v>
      </c>
      <c r="F80" s="26">
        <v>45757</v>
      </c>
      <c r="G80" s="27" t="s">
        <v>293</v>
      </c>
      <c r="J80"/>
      <c r="K80"/>
    </row>
    <row r="81" spans="1:11" ht="15.75" customHeight="1" x14ac:dyDescent="0.25">
      <c r="A81" s="17" t="s">
        <v>427</v>
      </c>
      <c r="B81" s="69">
        <v>42</v>
      </c>
      <c r="C81" s="18" t="s">
        <v>8</v>
      </c>
      <c r="D81" s="18" t="s">
        <v>26</v>
      </c>
      <c r="E81" s="17" t="s">
        <v>17</v>
      </c>
      <c r="F81" s="26">
        <v>45757</v>
      </c>
      <c r="G81" s="27" t="s">
        <v>293</v>
      </c>
      <c r="J81"/>
      <c r="K81"/>
    </row>
    <row r="82" spans="1:11" ht="15.75" customHeight="1" x14ac:dyDescent="0.25">
      <c r="A82" s="17" t="s">
        <v>43</v>
      </c>
      <c r="B82" s="70">
        <v>268.74</v>
      </c>
      <c r="C82" s="18" t="s">
        <v>8</v>
      </c>
      <c r="D82" s="18" t="s">
        <v>118</v>
      </c>
      <c r="E82" s="17" t="s">
        <v>12</v>
      </c>
      <c r="F82" s="26">
        <v>45758</v>
      </c>
      <c r="G82" s="27" t="s">
        <v>293</v>
      </c>
      <c r="J82"/>
      <c r="K82"/>
    </row>
    <row r="83" spans="1:11" ht="15.75" customHeight="1" x14ac:dyDescent="0.25">
      <c r="A83" s="17" t="s">
        <v>410</v>
      </c>
      <c r="B83" s="70">
        <v>17.5</v>
      </c>
      <c r="C83" s="18" t="s">
        <v>8</v>
      </c>
      <c r="D83" s="18" t="s">
        <v>14</v>
      </c>
      <c r="E83" s="17" t="s">
        <v>12</v>
      </c>
      <c r="F83" s="26">
        <v>45758</v>
      </c>
      <c r="G83" s="27" t="s">
        <v>293</v>
      </c>
      <c r="J83"/>
      <c r="K83"/>
    </row>
    <row r="84" spans="1:11" ht="15.75" customHeight="1" x14ac:dyDescent="0.25">
      <c r="A84" s="17" t="s">
        <v>431</v>
      </c>
      <c r="B84" s="70">
        <v>78.400000000000006</v>
      </c>
      <c r="C84" s="18" t="s">
        <v>8</v>
      </c>
      <c r="D84" s="18" t="s">
        <v>36</v>
      </c>
      <c r="E84" s="17" t="s">
        <v>12</v>
      </c>
      <c r="F84" s="26">
        <v>45758</v>
      </c>
      <c r="G84" s="27" t="s">
        <v>293</v>
      </c>
      <c r="J84"/>
      <c r="K84"/>
    </row>
    <row r="85" spans="1:11" ht="15.75" customHeight="1" x14ac:dyDescent="0.25">
      <c r="A85" s="17" t="s">
        <v>429</v>
      </c>
      <c r="B85" s="70">
        <v>120</v>
      </c>
      <c r="C85" s="18" t="s">
        <v>8</v>
      </c>
      <c r="D85" s="18" t="s">
        <v>118</v>
      </c>
      <c r="E85" s="17" t="s">
        <v>12</v>
      </c>
      <c r="F85" s="26">
        <v>45758</v>
      </c>
      <c r="G85" s="27" t="s">
        <v>293</v>
      </c>
      <c r="J85"/>
      <c r="K85"/>
    </row>
    <row r="86" spans="1:11" ht="15.75" customHeight="1" x14ac:dyDescent="0.25">
      <c r="A86" s="17" t="s">
        <v>430</v>
      </c>
      <c r="B86" s="70">
        <v>100</v>
      </c>
      <c r="C86" s="18" t="s">
        <v>8</v>
      </c>
      <c r="D86" s="18" t="s">
        <v>118</v>
      </c>
      <c r="E86" s="17" t="s">
        <v>17</v>
      </c>
      <c r="F86" s="26">
        <v>45758</v>
      </c>
      <c r="G86" s="27" t="s">
        <v>293</v>
      </c>
      <c r="J86"/>
      <c r="K86"/>
    </row>
    <row r="87" spans="1:11" ht="15.75" customHeight="1" x14ac:dyDescent="0.25">
      <c r="A87" s="17" t="s">
        <v>428</v>
      </c>
      <c r="B87" s="70">
        <v>67.2</v>
      </c>
      <c r="C87" s="18" t="s">
        <v>8</v>
      </c>
      <c r="D87" s="18" t="s">
        <v>36</v>
      </c>
      <c r="E87" s="17" t="s">
        <v>12</v>
      </c>
      <c r="F87" s="26">
        <v>45759</v>
      </c>
      <c r="G87" s="27" t="s">
        <v>293</v>
      </c>
      <c r="J87"/>
      <c r="K87"/>
    </row>
    <row r="88" spans="1:11" ht="15.75" customHeight="1" x14ac:dyDescent="0.25">
      <c r="A88" s="17" t="s">
        <v>429</v>
      </c>
      <c r="B88" s="70">
        <v>30.6</v>
      </c>
      <c r="C88" s="18" t="s">
        <v>8</v>
      </c>
      <c r="D88" s="18" t="s">
        <v>31</v>
      </c>
      <c r="E88" s="17" t="s">
        <v>12</v>
      </c>
      <c r="F88" s="26">
        <v>45759</v>
      </c>
      <c r="G88" s="27" t="s">
        <v>293</v>
      </c>
      <c r="J88"/>
      <c r="K88"/>
    </row>
    <row r="89" spans="1:11" ht="15.75" customHeight="1" x14ac:dyDescent="0.25">
      <c r="A89" s="17" t="s">
        <v>13</v>
      </c>
      <c r="B89" s="70">
        <v>41.51</v>
      </c>
      <c r="C89" s="18" t="s">
        <v>8</v>
      </c>
      <c r="D89" s="18" t="s">
        <v>14</v>
      </c>
      <c r="E89" s="17" t="s">
        <v>12</v>
      </c>
      <c r="F89" s="26">
        <v>45759</v>
      </c>
      <c r="G89" s="27" t="s">
        <v>293</v>
      </c>
      <c r="J89"/>
      <c r="K89"/>
    </row>
    <row r="90" spans="1:11" ht="15.75" customHeight="1" x14ac:dyDescent="0.25">
      <c r="A90" s="17" t="s">
        <v>163</v>
      </c>
      <c r="B90" s="70">
        <v>69.900000000000006</v>
      </c>
      <c r="C90" s="18" t="s">
        <v>8</v>
      </c>
      <c r="D90" s="18" t="s">
        <v>22</v>
      </c>
      <c r="E90" s="17" t="s">
        <v>17</v>
      </c>
      <c r="F90" s="26">
        <v>45760</v>
      </c>
      <c r="G90" s="27" t="s">
        <v>293</v>
      </c>
      <c r="J90"/>
      <c r="K90"/>
    </row>
    <row r="91" spans="1:11" ht="15.75" customHeight="1" x14ac:dyDescent="0.25">
      <c r="A91" s="17" t="s">
        <v>394</v>
      </c>
      <c r="B91" s="71">
        <v>53.199999999999996</v>
      </c>
      <c r="C91" s="18" t="s">
        <v>8</v>
      </c>
      <c r="D91" s="18" t="s">
        <v>11</v>
      </c>
      <c r="E91" s="17" t="s">
        <v>17</v>
      </c>
      <c r="F91" s="26">
        <v>45761</v>
      </c>
      <c r="G91" s="27" t="s">
        <v>303</v>
      </c>
      <c r="J91"/>
      <c r="K91"/>
    </row>
    <row r="92" spans="1:11" ht="15.75" customHeight="1" x14ac:dyDescent="0.25">
      <c r="A92" s="17" t="s">
        <v>432</v>
      </c>
      <c r="B92" s="71">
        <v>39</v>
      </c>
      <c r="C92" s="18" t="s">
        <v>8</v>
      </c>
      <c r="D92" s="18" t="s">
        <v>36</v>
      </c>
      <c r="E92" s="17" t="s">
        <v>17</v>
      </c>
      <c r="F92" s="26">
        <v>45761</v>
      </c>
      <c r="G92" s="27" t="s">
        <v>293</v>
      </c>
      <c r="J92"/>
      <c r="K92"/>
    </row>
    <row r="93" spans="1:11" ht="15.75" customHeight="1" x14ac:dyDescent="0.25">
      <c r="A93" s="17" t="s">
        <v>382</v>
      </c>
      <c r="B93" s="71">
        <v>25</v>
      </c>
      <c r="C93" s="18" t="s">
        <v>8</v>
      </c>
      <c r="D93" s="18" t="s">
        <v>16</v>
      </c>
      <c r="E93" s="17" t="s">
        <v>17</v>
      </c>
      <c r="F93" s="26">
        <v>45761</v>
      </c>
      <c r="G93" s="27" t="s">
        <v>293</v>
      </c>
      <c r="J93"/>
      <c r="K93"/>
    </row>
    <row r="94" spans="1:11" ht="15.75" customHeight="1" x14ac:dyDescent="0.25">
      <c r="A94" s="17" t="s">
        <v>433</v>
      </c>
      <c r="B94" s="71">
        <v>31.9</v>
      </c>
      <c r="C94" s="18" t="s">
        <v>8</v>
      </c>
      <c r="D94" s="18" t="s">
        <v>36</v>
      </c>
      <c r="E94" s="17" t="s">
        <v>12</v>
      </c>
      <c r="F94" s="26">
        <v>45762</v>
      </c>
      <c r="G94" s="27" t="s">
        <v>293</v>
      </c>
      <c r="J94"/>
      <c r="K94"/>
    </row>
    <row r="95" spans="1:11" ht="15.75" customHeight="1" x14ac:dyDescent="0.25">
      <c r="A95" s="17" t="s">
        <v>43</v>
      </c>
      <c r="B95" s="71">
        <v>227.9</v>
      </c>
      <c r="C95" s="18" t="s">
        <v>8</v>
      </c>
      <c r="D95" s="18" t="s">
        <v>118</v>
      </c>
      <c r="E95" s="17" t="s">
        <v>12</v>
      </c>
      <c r="F95" s="26">
        <v>45762</v>
      </c>
      <c r="G95" s="27" t="s">
        <v>293</v>
      </c>
      <c r="J95"/>
      <c r="K95"/>
    </row>
    <row r="96" spans="1:11" ht="15.75" customHeight="1" x14ac:dyDescent="0.25">
      <c r="A96" s="17" t="s">
        <v>434</v>
      </c>
      <c r="B96" s="71">
        <v>15.6</v>
      </c>
      <c r="C96" s="18" t="s">
        <v>8</v>
      </c>
      <c r="D96" s="18" t="s">
        <v>36</v>
      </c>
      <c r="E96" s="17" t="s">
        <v>12</v>
      </c>
      <c r="F96" s="26">
        <v>45762</v>
      </c>
      <c r="G96" s="27" t="s">
        <v>293</v>
      </c>
      <c r="J96"/>
      <c r="K96"/>
    </row>
    <row r="97" spans="1:11" ht="15.75" customHeight="1" x14ac:dyDescent="0.25">
      <c r="A97" s="17" t="s">
        <v>429</v>
      </c>
      <c r="B97" s="71">
        <v>100</v>
      </c>
      <c r="C97" s="18" t="s">
        <v>8</v>
      </c>
      <c r="D97" s="18" t="s">
        <v>118</v>
      </c>
      <c r="E97" s="17" t="s">
        <v>12</v>
      </c>
      <c r="F97" s="26">
        <v>45762</v>
      </c>
      <c r="G97" s="27" t="s">
        <v>293</v>
      </c>
      <c r="J97"/>
      <c r="K97"/>
    </row>
    <row r="98" spans="1:11" ht="15.75" customHeight="1" x14ac:dyDescent="0.25">
      <c r="A98" s="17" t="s">
        <v>435</v>
      </c>
      <c r="B98" s="72">
        <v>41.4</v>
      </c>
      <c r="C98" s="18" t="s">
        <v>8</v>
      </c>
      <c r="D98" s="18" t="s">
        <v>36</v>
      </c>
      <c r="E98" s="17" t="s">
        <v>17</v>
      </c>
      <c r="F98" s="26">
        <v>45764</v>
      </c>
      <c r="G98" s="27" t="s">
        <v>293</v>
      </c>
      <c r="J98"/>
      <c r="K98"/>
    </row>
    <row r="99" spans="1:11" ht="15.75" customHeight="1" x14ac:dyDescent="0.25">
      <c r="A99" s="17" t="s">
        <v>436</v>
      </c>
      <c r="B99" s="72">
        <v>79.680000000000007</v>
      </c>
      <c r="C99" s="18" t="s">
        <v>8</v>
      </c>
      <c r="D99" s="18" t="s">
        <v>11</v>
      </c>
      <c r="E99" s="17" t="s">
        <v>12</v>
      </c>
      <c r="F99" s="26">
        <v>45764</v>
      </c>
      <c r="G99" s="27" t="s">
        <v>293</v>
      </c>
      <c r="J99"/>
      <c r="K99"/>
    </row>
    <row r="100" spans="1:11" ht="15.75" customHeight="1" x14ac:dyDescent="0.25">
      <c r="A100" s="17" t="s">
        <v>380</v>
      </c>
      <c r="B100" s="72">
        <v>227.97</v>
      </c>
      <c r="C100" s="18" t="s">
        <v>8</v>
      </c>
      <c r="D100" s="18" t="s">
        <v>68</v>
      </c>
      <c r="E100" s="17" t="s">
        <v>12</v>
      </c>
      <c r="F100" s="26">
        <v>45764</v>
      </c>
      <c r="G100" s="27" t="s">
        <v>293</v>
      </c>
      <c r="J100"/>
      <c r="K100"/>
    </row>
    <row r="101" spans="1:11" ht="15.75" customHeight="1" x14ac:dyDescent="0.25">
      <c r="A101" s="17" t="s">
        <v>43</v>
      </c>
      <c r="B101" s="72">
        <v>296.48</v>
      </c>
      <c r="C101" s="18" t="s">
        <v>8</v>
      </c>
      <c r="D101" s="18" t="s">
        <v>118</v>
      </c>
      <c r="E101" s="17" t="s">
        <v>12</v>
      </c>
      <c r="F101" s="26">
        <v>45768</v>
      </c>
      <c r="G101" s="27" t="s">
        <v>293</v>
      </c>
      <c r="J101"/>
      <c r="K101"/>
    </row>
    <row r="102" spans="1:11" ht="15.75" customHeight="1" x14ac:dyDescent="0.25">
      <c r="A102" s="17" t="s">
        <v>430</v>
      </c>
      <c r="B102" s="72">
        <v>50</v>
      </c>
      <c r="C102" s="18" t="s">
        <v>8</v>
      </c>
      <c r="D102" s="18" t="s">
        <v>118</v>
      </c>
      <c r="E102" s="17" t="s">
        <v>17</v>
      </c>
      <c r="F102" s="26">
        <v>45768</v>
      </c>
      <c r="G102" s="27" t="s">
        <v>293</v>
      </c>
      <c r="J102"/>
      <c r="K102"/>
    </row>
    <row r="103" spans="1:11" ht="15.75" customHeight="1" x14ac:dyDescent="0.25">
      <c r="A103" s="17" t="s">
        <v>430</v>
      </c>
      <c r="B103" s="72">
        <v>50</v>
      </c>
      <c r="C103" s="18" t="s">
        <v>8</v>
      </c>
      <c r="D103" s="18" t="s">
        <v>118</v>
      </c>
      <c r="E103" s="17" t="s">
        <v>17</v>
      </c>
      <c r="F103" s="26">
        <v>45768</v>
      </c>
      <c r="G103" s="27" t="s">
        <v>293</v>
      </c>
      <c r="J103"/>
      <c r="K103"/>
    </row>
    <row r="104" spans="1:11" ht="15.75" customHeight="1" x14ac:dyDescent="0.25">
      <c r="A104" s="17" t="s">
        <v>437</v>
      </c>
      <c r="B104" s="72">
        <v>24.5</v>
      </c>
      <c r="C104" s="18" t="s">
        <v>8</v>
      </c>
      <c r="D104" s="18" t="s">
        <v>36</v>
      </c>
      <c r="E104" s="17" t="s">
        <v>17</v>
      </c>
      <c r="F104" s="26">
        <v>45768</v>
      </c>
      <c r="G104" s="27" t="s">
        <v>293</v>
      </c>
      <c r="J104"/>
      <c r="K104"/>
    </row>
    <row r="105" spans="1:11" ht="15.75" customHeight="1" x14ac:dyDescent="0.25">
      <c r="A105" s="17" t="s">
        <v>438</v>
      </c>
      <c r="B105" s="73">
        <v>170</v>
      </c>
      <c r="C105" s="18" t="s">
        <v>8</v>
      </c>
      <c r="D105" s="18" t="s">
        <v>14</v>
      </c>
      <c r="E105" s="17" t="s">
        <v>17</v>
      </c>
      <c r="F105" s="26">
        <v>45769</v>
      </c>
      <c r="G105" s="27" t="s">
        <v>293</v>
      </c>
      <c r="J105"/>
      <c r="K105"/>
    </row>
    <row r="106" spans="1:11" ht="15.75" customHeight="1" x14ac:dyDescent="0.25">
      <c r="A106" s="17" t="s">
        <v>411</v>
      </c>
      <c r="B106" s="73">
        <v>20</v>
      </c>
      <c r="C106" s="18" t="s">
        <v>8</v>
      </c>
      <c r="D106" s="18" t="s">
        <v>16</v>
      </c>
      <c r="E106" s="17" t="s">
        <v>17</v>
      </c>
      <c r="F106" s="26">
        <v>45769</v>
      </c>
      <c r="G106" s="27" t="s">
        <v>293</v>
      </c>
      <c r="J106"/>
      <c r="K106"/>
    </row>
    <row r="107" spans="1:11" ht="15.75" customHeight="1" x14ac:dyDescent="0.25">
      <c r="A107" s="17" t="s">
        <v>430</v>
      </c>
      <c r="B107" s="73">
        <v>50</v>
      </c>
      <c r="C107" s="18" t="s">
        <v>8</v>
      </c>
      <c r="D107" s="18" t="s">
        <v>118</v>
      </c>
      <c r="E107" s="17" t="s">
        <v>17</v>
      </c>
      <c r="F107" s="26">
        <v>45770</v>
      </c>
      <c r="G107" s="27" t="s">
        <v>293</v>
      </c>
      <c r="J107"/>
      <c r="K107"/>
    </row>
    <row r="108" spans="1:11" ht="15.75" customHeight="1" x14ac:dyDescent="0.25">
      <c r="A108" s="17" t="s">
        <v>13</v>
      </c>
      <c r="B108" s="73">
        <v>28.19</v>
      </c>
      <c r="C108" s="18" t="s">
        <v>8</v>
      </c>
      <c r="D108" s="18" t="s">
        <v>14</v>
      </c>
      <c r="E108" s="17" t="s">
        <v>12</v>
      </c>
      <c r="F108" s="26">
        <v>45770</v>
      </c>
      <c r="G108" s="27" t="s">
        <v>293</v>
      </c>
      <c r="J108"/>
      <c r="K108"/>
    </row>
    <row r="109" spans="1:11" ht="15.75" customHeight="1" x14ac:dyDescent="0.25">
      <c r="A109" s="17" t="s">
        <v>439</v>
      </c>
      <c r="B109" s="73">
        <v>123.5</v>
      </c>
      <c r="C109" s="18" t="s">
        <v>8</v>
      </c>
      <c r="D109" s="18" t="s">
        <v>11</v>
      </c>
      <c r="E109" s="17" t="s">
        <v>12</v>
      </c>
      <c r="F109" s="26">
        <v>45771</v>
      </c>
      <c r="G109" s="27" t="s">
        <v>386</v>
      </c>
      <c r="J109"/>
      <c r="K109"/>
    </row>
    <row r="110" spans="1:11" ht="15.75" customHeight="1" x14ac:dyDescent="0.25">
      <c r="A110" s="81" t="s">
        <v>449</v>
      </c>
      <c r="B110" s="80">
        <v>470.9</v>
      </c>
      <c r="C110" s="81" t="s">
        <v>8</v>
      </c>
      <c r="D110" s="81" t="s">
        <v>68</v>
      </c>
      <c r="E110" s="81" t="s">
        <v>12</v>
      </c>
      <c r="F110" s="26">
        <v>45771</v>
      </c>
      <c r="G110" s="82" t="s">
        <v>293</v>
      </c>
      <c r="J110"/>
      <c r="K110"/>
    </row>
    <row r="111" spans="1:11" ht="15.75" customHeight="1" x14ac:dyDescent="0.25">
      <c r="A111" s="17" t="s">
        <v>416</v>
      </c>
      <c r="B111" s="74">
        <v>36.199999999999996</v>
      </c>
      <c r="C111" s="18" t="s">
        <v>8</v>
      </c>
      <c r="D111" s="18" t="s">
        <v>11</v>
      </c>
      <c r="E111" s="17" t="s">
        <v>12</v>
      </c>
      <c r="F111" s="26">
        <v>45772</v>
      </c>
      <c r="G111" s="27" t="s">
        <v>303</v>
      </c>
      <c r="J111"/>
      <c r="K111"/>
    </row>
    <row r="112" spans="1:11" ht="15.75" customHeight="1" x14ac:dyDescent="0.25">
      <c r="A112" s="17" t="s">
        <v>403</v>
      </c>
      <c r="B112" s="74">
        <v>155</v>
      </c>
      <c r="C112" s="18" t="s">
        <v>8</v>
      </c>
      <c r="D112" s="18" t="s">
        <v>36</v>
      </c>
      <c r="E112" s="17" t="s">
        <v>17</v>
      </c>
      <c r="F112" s="26">
        <v>45772</v>
      </c>
      <c r="G112" s="27" t="s">
        <v>293</v>
      </c>
      <c r="J112"/>
      <c r="K112"/>
    </row>
    <row r="113" spans="1:11" ht="15.75" customHeight="1" x14ac:dyDescent="0.25">
      <c r="A113" s="17" t="s">
        <v>120</v>
      </c>
      <c r="B113" s="74">
        <v>13.9</v>
      </c>
      <c r="C113" s="18" t="s">
        <v>8</v>
      </c>
      <c r="D113" s="18" t="s">
        <v>31</v>
      </c>
      <c r="E113" s="17" t="s">
        <v>17</v>
      </c>
      <c r="F113" s="26">
        <v>45773</v>
      </c>
      <c r="G113" s="27" t="s">
        <v>293</v>
      </c>
      <c r="J113"/>
      <c r="K113"/>
    </row>
    <row r="114" spans="1:11" ht="15.75" customHeight="1" x14ac:dyDescent="0.25">
      <c r="A114" s="17" t="s">
        <v>440</v>
      </c>
      <c r="B114" s="74">
        <v>50.6</v>
      </c>
      <c r="C114" s="18" t="s">
        <v>8</v>
      </c>
      <c r="D114" s="18" t="s">
        <v>11</v>
      </c>
      <c r="E114" s="17" t="s">
        <v>12</v>
      </c>
      <c r="F114" s="26">
        <v>45773</v>
      </c>
      <c r="G114" s="27" t="s">
        <v>293</v>
      </c>
      <c r="J114"/>
      <c r="K114"/>
    </row>
    <row r="115" spans="1:11" ht="15.75" customHeight="1" x14ac:dyDescent="0.25">
      <c r="A115" s="17" t="s">
        <v>441</v>
      </c>
      <c r="B115" s="74">
        <v>201.51</v>
      </c>
      <c r="C115" s="18" t="s">
        <v>8</v>
      </c>
      <c r="D115" s="18" t="s">
        <v>31</v>
      </c>
      <c r="E115" s="17" t="s">
        <v>12</v>
      </c>
      <c r="F115" s="26">
        <v>45773</v>
      </c>
      <c r="G115" s="27" t="s">
        <v>293</v>
      </c>
      <c r="J115"/>
      <c r="K115"/>
    </row>
    <row r="116" spans="1:11" ht="15.75" customHeight="1" x14ac:dyDescent="0.25">
      <c r="A116" s="17" t="s">
        <v>133</v>
      </c>
      <c r="B116" s="74">
        <v>24.76</v>
      </c>
      <c r="C116" s="18" t="s">
        <v>8</v>
      </c>
      <c r="D116" s="18" t="s">
        <v>16</v>
      </c>
      <c r="E116" s="17" t="s">
        <v>12</v>
      </c>
      <c r="F116" s="26">
        <v>45773</v>
      </c>
      <c r="G116" s="27" t="s">
        <v>293</v>
      </c>
      <c r="J116"/>
      <c r="K116"/>
    </row>
    <row r="117" spans="1:11" ht="15.75" customHeight="1" x14ac:dyDescent="0.25">
      <c r="A117" s="17" t="s">
        <v>440</v>
      </c>
      <c r="B117" s="74">
        <v>43.094999999999999</v>
      </c>
      <c r="C117" s="18" t="s">
        <v>8</v>
      </c>
      <c r="D117" s="18" t="s">
        <v>11</v>
      </c>
      <c r="E117" s="17" t="s">
        <v>12</v>
      </c>
      <c r="F117" s="26">
        <v>45773</v>
      </c>
      <c r="G117" s="27" t="s">
        <v>397</v>
      </c>
      <c r="J117"/>
      <c r="K117"/>
    </row>
    <row r="118" spans="1:11" ht="15.75" customHeight="1" x14ac:dyDescent="0.25">
      <c r="A118" s="17" t="s">
        <v>133</v>
      </c>
      <c r="B118" s="74">
        <v>55.85</v>
      </c>
      <c r="C118" s="18" t="s">
        <v>8</v>
      </c>
      <c r="D118" s="18" t="s">
        <v>16</v>
      </c>
      <c r="E118" s="17" t="s">
        <v>12</v>
      </c>
      <c r="F118" s="26">
        <v>45773</v>
      </c>
      <c r="G118" s="27" t="s">
        <v>293</v>
      </c>
      <c r="J118"/>
      <c r="K118"/>
    </row>
    <row r="119" spans="1:11" ht="15.75" customHeight="1" x14ac:dyDescent="0.25">
      <c r="A119" s="17" t="s">
        <v>442</v>
      </c>
      <c r="B119" s="74">
        <v>133.19</v>
      </c>
      <c r="C119" s="18" t="s">
        <v>8</v>
      </c>
      <c r="D119" s="18" t="s">
        <v>36</v>
      </c>
      <c r="E119" s="17" t="s">
        <v>12</v>
      </c>
      <c r="F119" s="26">
        <v>45773</v>
      </c>
      <c r="G119" s="27" t="s">
        <v>293</v>
      </c>
      <c r="J119"/>
      <c r="K119"/>
    </row>
    <row r="120" spans="1:11" ht="15.75" customHeight="1" x14ac:dyDescent="0.25">
      <c r="A120" s="17" t="s">
        <v>443</v>
      </c>
      <c r="B120" s="74">
        <v>71.7</v>
      </c>
      <c r="C120" s="18" t="s">
        <v>8</v>
      </c>
      <c r="D120" s="18" t="s">
        <v>11</v>
      </c>
      <c r="E120" s="17" t="s">
        <v>12</v>
      </c>
      <c r="F120" s="26">
        <v>45774</v>
      </c>
      <c r="G120" s="27" t="s">
        <v>293</v>
      </c>
      <c r="J120"/>
      <c r="K120"/>
    </row>
    <row r="121" spans="1:11" ht="15.75" customHeight="1" x14ac:dyDescent="0.25">
      <c r="A121" s="17" t="s">
        <v>43</v>
      </c>
      <c r="B121" s="74">
        <v>44.06</v>
      </c>
      <c r="C121" s="18" t="s">
        <v>8</v>
      </c>
      <c r="D121" s="18" t="s">
        <v>31</v>
      </c>
      <c r="E121" s="17" t="s">
        <v>12</v>
      </c>
      <c r="F121" s="26">
        <v>45774</v>
      </c>
      <c r="G121" s="27" t="s">
        <v>293</v>
      </c>
      <c r="J121"/>
      <c r="K121"/>
    </row>
    <row r="122" spans="1:11" ht="15.75" customHeight="1" x14ac:dyDescent="0.25">
      <c r="A122" s="17" t="s">
        <v>444</v>
      </c>
      <c r="B122" s="74">
        <v>57.95</v>
      </c>
      <c r="C122" s="18" t="s">
        <v>8</v>
      </c>
      <c r="D122" s="18" t="s">
        <v>36</v>
      </c>
      <c r="E122" s="17" t="s">
        <v>12</v>
      </c>
      <c r="F122" s="26">
        <v>45774</v>
      </c>
      <c r="G122" s="27" t="s">
        <v>293</v>
      </c>
      <c r="J122"/>
      <c r="K122"/>
    </row>
    <row r="123" spans="1:11" ht="15.75" customHeight="1" x14ac:dyDescent="0.25">
      <c r="A123" s="17" t="s">
        <v>445</v>
      </c>
      <c r="B123" s="74">
        <v>86.4</v>
      </c>
      <c r="C123" s="18" t="s">
        <v>8</v>
      </c>
      <c r="D123" s="18" t="s">
        <v>36</v>
      </c>
      <c r="E123" s="17" t="s">
        <v>17</v>
      </c>
      <c r="F123" s="26">
        <v>45774</v>
      </c>
      <c r="G123" s="27" t="s">
        <v>293</v>
      </c>
      <c r="J123"/>
      <c r="K123"/>
    </row>
    <row r="124" spans="1:11" ht="15.75" customHeight="1" x14ac:dyDescent="0.25">
      <c r="A124" s="17" t="s">
        <v>120</v>
      </c>
      <c r="B124" s="75">
        <v>13.57</v>
      </c>
      <c r="C124" s="18" t="s">
        <v>8</v>
      </c>
      <c r="D124" s="18" t="s">
        <v>31</v>
      </c>
      <c r="E124" s="17" t="s">
        <v>12</v>
      </c>
      <c r="F124" s="26">
        <v>45773</v>
      </c>
      <c r="G124" s="27" t="s">
        <v>293</v>
      </c>
      <c r="J124"/>
      <c r="K124"/>
    </row>
    <row r="125" spans="1:11" ht="15.75" customHeight="1" x14ac:dyDescent="0.25">
      <c r="A125" s="17" t="s">
        <v>120</v>
      </c>
      <c r="B125" s="75">
        <v>6.96</v>
      </c>
      <c r="C125" s="18" t="s">
        <v>8</v>
      </c>
      <c r="D125" s="18" t="s">
        <v>31</v>
      </c>
      <c r="E125" s="17" t="s">
        <v>12</v>
      </c>
      <c r="F125" s="26">
        <v>45774</v>
      </c>
      <c r="G125" s="27" t="s">
        <v>293</v>
      </c>
      <c r="J125"/>
      <c r="K125"/>
    </row>
    <row r="126" spans="1:11" ht="15.75" customHeight="1" x14ac:dyDescent="0.25">
      <c r="A126" s="17" t="s">
        <v>446</v>
      </c>
      <c r="B126" s="75">
        <v>65.400000000000006</v>
      </c>
      <c r="C126" s="18" t="s">
        <v>8</v>
      </c>
      <c r="D126" s="18" t="s">
        <v>14</v>
      </c>
      <c r="E126" s="17" t="s">
        <v>12</v>
      </c>
      <c r="F126" s="26">
        <v>45775</v>
      </c>
      <c r="G126" s="27" t="s">
        <v>293</v>
      </c>
      <c r="J126"/>
      <c r="K126"/>
    </row>
    <row r="127" spans="1:11" ht="15.75" customHeight="1" x14ac:dyDescent="0.25">
      <c r="A127" s="17" t="s">
        <v>447</v>
      </c>
      <c r="B127" s="75">
        <v>50.949999999999996</v>
      </c>
      <c r="C127" s="18" t="s">
        <v>8</v>
      </c>
      <c r="D127" s="18" t="s">
        <v>14</v>
      </c>
      <c r="E127" s="17" t="s">
        <v>12</v>
      </c>
      <c r="F127" s="26">
        <v>45775</v>
      </c>
      <c r="G127" s="27" t="s">
        <v>386</v>
      </c>
      <c r="J127"/>
      <c r="K127"/>
    </row>
    <row r="128" spans="1:11" ht="15.75" customHeight="1" x14ac:dyDescent="0.25">
      <c r="A128" s="17" t="s">
        <v>410</v>
      </c>
      <c r="B128" s="75">
        <v>15</v>
      </c>
      <c r="C128" s="18" t="s">
        <v>8</v>
      </c>
      <c r="D128" s="18" t="s">
        <v>14</v>
      </c>
      <c r="E128" s="17" t="s">
        <v>12</v>
      </c>
      <c r="F128" s="26">
        <v>45775</v>
      </c>
      <c r="G128" s="27" t="s">
        <v>293</v>
      </c>
      <c r="J128"/>
      <c r="K128"/>
    </row>
    <row r="129" spans="1:11" ht="15.75" customHeight="1" x14ac:dyDescent="0.25">
      <c r="A129" s="17" t="s">
        <v>133</v>
      </c>
      <c r="B129" s="78">
        <v>56.57</v>
      </c>
      <c r="C129" s="18" t="s">
        <v>8</v>
      </c>
      <c r="D129" s="18" t="s">
        <v>16</v>
      </c>
      <c r="E129" s="17" t="s">
        <v>17</v>
      </c>
      <c r="F129" s="26">
        <v>45776</v>
      </c>
      <c r="G129" s="27" t="s">
        <v>293</v>
      </c>
      <c r="J129"/>
      <c r="K129"/>
    </row>
    <row r="130" spans="1:11" ht="15.75" customHeight="1" x14ac:dyDescent="0.25">
      <c r="A130" s="17" t="s">
        <v>448</v>
      </c>
      <c r="B130" s="79">
        <v>550</v>
      </c>
      <c r="C130" s="18" t="s">
        <v>8</v>
      </c>
      <c r="D130" s="18" t="s">
        <v>63</v>
      </c>
      <c r="E130" s="17" t="s">
        <v>17</v>
      </c>
      <c r="F130" s="26">
        <v>45777</v>
      </c>
      <c r="G130" s="27" t="s">
        <v>293</v>
      </c>
      <c r="J130"/>
      <c r="K130"/>
    </row>
    <row r="131" spans="1:11" ht="15.75" customHeight="1" x14ac:dyDescent="0.25">
      <c r="A131" s="81" t="s">
        <v>450</v>
      </c>
      <c r="B131" s="80">
        <v>450</v>
      </c>
      <c r="C131" s="81" t="s">
        <v>8</v>
      </c>
      <c r="D131" s="81" t="s">
        <v>68</v>
      </c>
      <c r="E131" s="81" t="s">
        <v>12</v>
      </c>
      <c r="F131" s="26">
        <v>45777</v>
      </c>
      <c r="G131" s="82" t="s">
        <v>293</v>
      </c>
      <c r="J131"/>
      <c r="K131"/>
    </row>
    <row r="132" spans="1:11" ht="15.75" customHeight="1" x14ac:dyDescent="0.25">
      <c r="A132" s="81" t="s">
        <v>120</v>
      </c>
      <c r="B132" s="80">
        <v>13.49</v>
      </c>
      <c r="C132" s="81" t="s">
        <v>8</v>
      </c>
      <c r="D132" s="81" t="s">
        <v>31</v>
      </c>
      <c r="E132" s="81" t="s">
        <v>17</v>
      </c>
      <c r="F132" s="26">
        <v>45777</v>
      </c>
      <c r="G132" s="82" t="s">
        <v>293</v>
      </c>
      <c r="J132"/>
      <c r="K132"/>
    </row>
    <row r="133" spans="1:11" ht="15.75" customHeight="1" x14ac:dyDescent="0.25">
      <c r="A133" s="81" t="s">
        <v>165</v>
      </c>
      <c r="B133" s="80">
        <v>16.489999999999998</v>
      </c>
      <c r="C133" s="81" t="s">
        <v>8</v>
      </c>
      <c r="D133" s="81" t="s">
        <v>16</v>
      </c>
      <c r="E133" s="81" t="s">
        <v>17</v>
      </c>
      <c r="F133" s="26">
        <v>45777</v>
      </c>
      <c r="G133" s="82" t="s">
        <v>293</v>
      </c>
      <c r="J133"/>
      <c r="K133"/>
    </row>
    <row r="134" spans="1:11" ht="15.75" customHeight="1" x14ac:dyDescent="0.25">
      <c r="A134" s="81" t="s">
        <v>452</v>
      </c>
      <c r="B134" s="80">
        <v>7.38</v>
      </c>
      <c r="C134" s="81" t="s">
        <v>8</v>
      </c>
      <c r="D134" s="81" t="s">
        <v>16</v>
      </c>
      <c r="E134" s="81" t="s">
        <v>17</v>
      </c>
      <c r="F134" s="26">
        <v>45777</v>
      </c>
      <c r="G134" s="82" t="s">
        <v>293</v>
      </c>
      <c r="J134"/>
      <c r="K134"/>
    </row>
    <row r="135" spans="1:11" ht="15.75" customHeight="1" x14ac:dyDescent="0.25">
      <c r="C135" s="18"/>
      <c r="D135" s="18"/>
      <c r="J135"/>
      <c r="K135"/>
    </row>
    <row r="136" spans="1:11" ht="15.75" customHeight="1" x14ac:dyDescent="0.25">
      <c r="C136" s="18"/>
      <c r="D136" s="18"/>
      <c r="J136"/>
      <c r="K136"/>
    </row>
    <row r="137" spans="1:11" ht="15.75" customHeight="1" x14ac:dyDescent="0.25">
      <c r="C137" s="18"/>
      <c r="D137" s="18"/>
      <c r="J137"/>
      <c r="K137"/>
    </row>
    <row r="138" spans="1:11" ht="15.75" customHeight="1" x14ac:dyDescent="0.25">
      <c r="C138" s="18"/>
      <c r="D138" s="18"/>
      <c r="J138"/>
      <c r="K138"/>
    </row>
    <row r="139" spans="1:11" ht="15.75" customHeight="1" x14ac:dyDescent="0.25">
      <c r="C139" s="18"/>
      <c r="D139" s="18"/>
      <c r="J139"/>
      <c r="K139"/>
    </row>
    <row r="140" spans="1:11" ht="15.75" customHeight="1" x14ac:dyDescent="0.25">
      <c r="C140" s="18"/>
      <c r="D140" s="18"/>
      <c r="J140"/>
      <c r="K140"/>
    </row>
    <row r="141" spans="1:11" ht="15.75" customHeight="1" x14ac:dyDescent="0.25">
      <c r="C141" s="18"/>
      <c r="D141" s="18"/>
      <c r="J141"/>
      <c r="K141"/>
    </row>
    <row r="142" spans="1:11" ht="15.75" customHeight="1" x14ac:dyDescent="0.25">
      <c r="C142" s="18"/>
      <c r="D142" s="18"/>
      <c r="J142"/>
      <c r="K142"/>
    </row>
    <row r="143" spans="1:11" ht="15.75" customHeight="1" x14ac:dyDescent="0.25">
      <c r="C143" s="18"/>
      <c r="D143" s="18"/>
      <c r="J143"/>
      <c r="K143"/>
    </row>
    <row r="144" spans="1:11" ht="15.75" customHeight="1" x14ac:dyDescent="0.25">
      <c r="C144" s="18"/>
      <c r="D144" s="18"/>
      <c r="J144"/>
      <c r="K144"/>
    </row>
    <row r="145" spans="3:11" ht="15.75" customHeight="1" x14ac:dyDescent="0.25">
      <c r="C145" s="18"/>
      <c r="D145" s="18"/>
      <c r="J145"/>
      <c r="K145"/>
    </row>
    <row r="146" spans="3:11" ht="15.75" customHeight="1" x14ac:dyDescent="0.25">
      <c r="C146" s="18"/>
      <c r="D146" s="18"/>
      <c r="J146"/>
      <c r="K146"/>
    </row>
    <row r="147" spans="3:11" ht="15.75" customHeight="1" x14ac:dyDescent="0.25">
      <c r="C147" s="18"/>
      <c r="D147" s="18"/>
      <c r="J147"/>
      <c r="K147"/>
    </row>
    <row r="148" spans="3:11" ht="15.75" customHeight="1" x14ac:dyDescent="0.25">
      <c r="C148" s="18"/>
      <c r="D148" s="18"/>
      <c r="J148"/>
      <c r="K148"/>
    </row>
    <row r="149" spans="3:11" ht="15.75" customHeight="1" x14ac:dyDescent="0.25">
      <c r="C149" s="18"/>
      <c r="D149" s="18"/>
      <c r="J149"/>
      <c r="K149"/>
    </row>
    <row r="150" spans="3:11" ht="15.75" customHeight="1" x14ac:dyDescent="0.25">
      <c r="C150" s="18"/>
      <c r="D150" s="18"/>
      <c r="J150"/>
      <c r="K150"/>
    </row>
    <row r="151" spans="3:11" ht="15.75" customHeight="1" x14ac:dyDescent="0.25">
      <c r="C151" s="18"/>
      <c r="D151" s="18"/>
      <c r="J151"/>
      <c r="K151"/>
    </row>
    <row r="152" spans="3:11" ht="15.75" customHeight="1" x14ac:dyDescent="0.25">
      <c r="C152" s="18"/>
      <c r="D152" s="18"/>
      <c r="J152"/>
      <c r="K152"/>
    </row>
    <row r="153" spans="3:11" ht="15.75" customHeight="1" x14ac:dyDescent="0.25">
      <c r="C153" s="18"/>
      <c r="D153" s="18"/>
      <c r="J153"/>
      <c r="K153"/>
    </row>
    <row r="154" spans="3:11" ht="15.75" customHeight="1" x14ac:dyDescent="0.25">
      <c r="C154" s="18"/>
      <c r="D154" s="18"/>
      <c r="J154"/>
      <c r="K154"/>
    </row>
    <row r="155" spans="3:11" ht="15.75" customHeight="1" x14ac:dyDescent="0.25">
      <c r="C155" s="18"/>
      <c r="D155" s="18"/>
      <c r="J155"/>
      <c r="K155"/>
    </row>
    <row r="156" spans="3:11" ht="15.75" customHeight="1" x14ac:dyDescent="0.25">
      <c r="C156" s="18"/>
      <c r="D156" s="18"/>
      <c r="J156"/>
      <c r="K156"/>
    </row>
    <row r="157" spans="3:11" ht="15.75" customHeight="1" x14ac:dyDescent="0.25">
      <c r="C157" s="18"/>
      <c r="D157" s="18"/>
      <c r="J157"/>
      <c r="K157"/>
    </row>
    <row r="158" spans="3:11" ht="15.75" customHeight="1" x14ac:dyDescent="0.25">
      <c r="C158" s="18"/>
      <c r="D158" s="18"/>
      <c r="J158"/>
      <c r="K158"/>
    </row>
    <row r="159" spans="3:11" ht="15.75" customHeight="1" x14ac:dyDescent="0.25">
      <c r="C159" s="18"/>
      <c r="D159" s="18"/>
      <c r="J159"/>
      <c r="K159"/>
    </row>
    <row r="160" spans="3:11" ht="15.75" customHeight="1" x14ac:dyDescent="0.25">
      <c r="C160" s="18"/>
      <c r="D160" s="18"/>
      <c r="J160"/>
      <c r="K160"/>
    </row>
    <row r="161" spans="3:11" ht="15.75" customHeight="1" x14ac:dyDescent="0.25">
      <c r="C161" s="18"/>
      <c r="D161" s="18"/>
      <c r="J161"/>
      <c r="K161"/>
    </row>
    <row r="162" spans="3:11" ht="15.75" customHeight="1" x14ac:dyDescent="0.25">
      <c r="C162" s="18"/>
      <c r="D162" s="18"/>
      <c r="J162"/>
      <c r="K162"/>
    </row>
    <row r="163" spans="3:11" ht="15.75" customHeight="1" x14ac:dyDescent="0.25">
      <c r="C163" s="18"/>
      <c r="D163" s="18"/>
      <c r="J163"/>
      <c r="K163"/>
    </row>
    <row r="164" spans="3:11" ht="15.75" customHeight="1" x14ac:dyDescent="0.25">
      <c r="C164" s="18"/>
      <c r="D164" s="18"/>
      <c r="J164"/>
      <c r="K164"/>
    </row>
    <row r="165" spans="3:11" ht="15.75" customHeight="1" x14ac:dyDescent="0.25">
      <c r="C165" s="18"/>
      <c r="D165" s="18"/>
      <c r="J165"/>
      <c r="K165"/>
    </row>
    <row r="166" spans="3:11" ht="15.75" customHeight="1" x14ac:dyDescent="0.25">
      <c r="C166" s="18"/>
      <c r="D166" s="18"/>
      <c r="J166"/>
      <c r="K166"/>
    </row>
    <row r="167" spans="3:11" ht="15.75" customHeight="1" x14ac:dyDescent="0.25">
      <c r="C167" s="18"/>
      <c r="D167" s="18"/>
      <c r="J167"/>
      <c r="K167"/>
    </row>
    <row r="168" spans="3:11" ht="15.75" customHeight="1" x14ac:dyDescent="0.25">
      <c r="C168" s="18"/>
      <c r="D168" s="18"/>
      <c r="J168"/>
      <c r="K168"/>
    </row>
    <row r="169" spans="3:11" ht="15.75" customHeight="1" x14ac:dyDescent="0.25">
      <c r="C169" s="18"/>
      <c r="D169" s="18"/>
    </row>
    <row r="170" spans="3:11" ht="15.75" customHeight="1" x14ac:dyDescent="0.25">
      <c r="C170" s="18"/>
      <c r="D170" s="18"/>
    </row>
    <row r="171" spans="3:11" ht="15.75" customHeight="1" x14ac:dyDescent="0.25">
      <c r="C171" s="18"/>
      <c r="D171" s="18"/>
    </row>
    <row r="172" spans="3:11" ht="15.75" customHeight="1" x14ac:dyDescent="0.25">
      <c r="C172" s="18"/>
      <c r="D172" s="18"/>
    </row>
    <row r="173" spans="3:11" ht="15.75" customHeight="1" x14ac:dyDescent="0.25">
      <c r="C173" s="18"/>
      <c r="D173" s="18"/>
    </row>
    <row r="174" spans="3:11" ht="15.75" customHeight="1" x14ac:dyDescent="0.25">
      <c r="C174" s="18"/>
      <c r="D174" s="18"/>
    </row>
    <row r="175" spans="3:11" ht="15.75" customHeight="1" x14ac:dyDescent="0.25">
      <c r="C175" s="18"/>
      <c r="D175" s="18"/>
    </row>
    <row r="176" spans="3:11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>
      <c r="C973" s="18"/>
      <c r="D973" s="18"/>
    </row>
    <row r="974" spans="3:4" ht="15.75" customHeight="1" x14ac:dyDescent="0.25">
      <c r="C974" s="18"/>
      <c r="D974" s="18"/>
    </row>
    <row r="975" spans="3:4" ht="15.75" customHeight="1" x14ac:dyDescent="0.25">
      <c r="C975" s="18"/>
      <c r="D975" s="18"/>
    </row>
    <row r="976" spans="3:4" ht="15.75" customHeight="1" x14ac:dyDescent="0.25">
      <c r="C976" s="18"/>
      <c r="D976" s="18"/>
    </row>
    <row r="977" spans="3:4" ht="15.75" customHeight="1" x14ac:dyDescent="0.25">
      <c r="C977" s="18"/>
      <c r="D977" s="18"/>
    </row>
    <row r="978" spans="3:4" ht="15.75" customHeight="1" x14ac:dyDescent="0.25">
      <c r="C978" s="18"/>
      <c r="D978" s="18"/>
    </row>
    <row r="979" spans="3:4" ht="15.75" customHeight="1" x14ac:dyDescent="0.25"/>
    <row r="980" spans="3:4" ht="15.75" customHeight="1" x14ac:dyDescent="0.25"/>
    <row r="981" spans="3:4" ht="15.75" customHeight="1" x14ac:dyDescent="0.25"/>
    <row r="982" spans="3:4" ht="15.75" customHeight="1" x14ac:dyDescent="0.25"/>
    <row r="983" spans="3:4" ht="15.75" customHeight="1" x14ac:dyDescent="0.25"/>
    <row r="984" spans="3:4" ht="15.75" customHeight="1" x14ac:dyDescent="0.25"/>
    <row r="985" spans="3:4" ht="15.75" customHeight="1" x14ac:dyDescent="0.25"/>
    <row r="986" spans="3:4" ht="15.75" customHeight="1" x14ac:dyDescent="0.25"/>
    <row r="987" spans="3:4" ht="15.75" customHeight="1" x14ac:dyDescent="0.25"/>
    <row r="988" spans="3:4" ht="15.75" customHeight="1" x14ac:dyDescent="0.25"/>
    <row r="989" spans="3:4" ht="15.75" customHeight="1" x14ac:dyDescent="0.25"/>
    <row r="990" spans="3:4" ht="15.75" customHeight="1" x14ac:dyDescent="0.25"/>
    <row r="991" spans="3:4" ht="15.75" customHeight="1" x14ac:dyDescent="0.25"/>
    <row r="992" spans="3:4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189A3-728A-46F3-A57C-818A53D9E00B}">
  <sheetPr codeName="Sheet7"/>
  <dimension ref="A1:L998"/>
  <sheetViews>
    <sheetView topLeftCell="A135" zoomScaleNormal="100" workbookViewId="0">
      <selection activeCell="A5" sqref="A5:G174"/>
    </sheetView>
  </sheetViews>
  <sheetFormatPr defaultColWidth="14.42578125" defaultRowHeight="15" customHeight="1" x14ac:dyDescent="0.25"/>
  <cols>
    <col min="1" max="1" width="30.85546875" style="17" customWidth="1"/>
    <col min="2" max="2" width="9.7109375" style="17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184" t="s">
        <v>0</v>
      </c>
      <c r="B1" s="190">
        <f>SUMIF('05_2025'!$C$5:$C$167,"Expense",'05_2025'!$B$5:$B$167)-SUMIF('05_2025'!$C$5:$C$167,"Income",'05_2025'!$B$5:$B$167)</f>
        <v>-2821.920916666666</v>
      </c>
    </row>
    <row r="2" spans="1:12" ht="15" customHeight="1" x14ac:dyDescent="0.25">
      <c r="A2" s="186"/>
      <c r="B2" s="186"/>
    </row>
    <row r="3" spans="1:12" x14ac:dyDescent="0.25">
      <c r="F3" s="18">
        <v>12</v>
      </c>
    </row>
    <row r="4" spans="1:12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  <c r="J4" s="11" t="s">
        <v>129</v>
      </c>
      <c r="K4" s="12" t="s">
        <v>131</v>
      </c>
      <c r="L4"/>
    </row>
    <row r="5" spans="1:12" x14ac:dyDescent="0.25">
      <c r="A5" s="2" t="s">
        <v>255</v>
      </c>
      <c r="B5" s="3">
        <f>877.5/12</f>
        <v>73.125</v>
      </c>
      <c r="C5" s="2" t="s">
        <v>8</v>
      </c>
      <c r="D5" s="2" t="s">
        <v>16</v>
      </c>
      <c r="E5" s="8" t="s">
        <v>12</v>
      </c>
      <c r="F5" s="5">
        <v>45629</v>
      </c>
      <c r="G5" s="31" t="s">
        <v>322</v>
      </c>
      <c r="J5" s="13" t="s">
        <v>70</v>
      </c>
      <c r="K5" s="76">
        <v>5000</v>
      </c>
      <c r="L5"/>
    </row>
    <row r="6" spans="1:12" x14ac:dyDescent="0.25">
      <c r="A6" s="2" t="s">
        <v>258</v>
      </c>
      <c r="B6" s="3">
        <v>33.36</v>
      </c>
      <c r="C6" s="2" t="s">
        <v>8</v>
      </c>
      <c r="D6" s="2" t="s">
        <v>11</v>
      </c>
      <c r="E6" s="18" t="s">
        <v>12</v>
      </c>
      <c r="F6" s="5">
        <v>45639</v>
      </c>
      <c r="G6" s="31" t="s">
        <v>355</v>
      </c>
      <c r="J6" s="13" t="s">
        <v>20</v>
      </c>
      <c r="K6" s="76">
        <v>175.5</v>
      </c>
      <c r="L6"/>
    </row>
    <row r="7" spans="1:12" x14ac:dyDescent="0.25">
      <c r="A7" s="2" t="s">
        <v>256</v>
      </c>
      <c r="B7" s="3">
        <v>51.68</v>
      </c>
      <c r="C7" s="2" t="s">
        <v>8</v>
      </c>
      <c r="D7" s="2" t="s">
        <v>11</v>
      </c>
      <c r="E7" s="8" t="s">
        <v>12</v>
      </c>
      <c r="F7" s="5">
        <v>45643</v>
      </c>
      <c r="G7" s="31" t="s">
        <v>353</v>
      </c>
      <c r="J7" s="13" t="s">
        <v>22</v>
      </c>
      <c r="K7" s="76">
        <v>1915.2860000000001</v>
      </c>
      <c r="L7"/>
    </row>
    <row r="8" spans="1:12" x14ac:dyDescent="0.25">
      <c r="A8" s="18" t="s">
        <v>257</v>
      </c>
      <c r="B8" s="28">
        <v>346.14</v>
      </c>
      <c r="C8" s="2" t="s">
        <v>8</v>
      </c>
      <c r="D8" s="18" t="s">
        <v>108</v>
      </c>
      <c r="E8" s="18" t="s">
        <v>12</v>
      </c>
      <c r="F8" s="5">
        <v>45657</v>
      </c>
      <c r="G8" s="31" t="s">
        <v>354</v>
      </c>
      <c r="J8" s="13" t="s">
        <v>26</v>
      </c>
      <c r="K8" s="76">
        <v>75</v>
      </c>
      <c r="L8"/>
    </row>
    <row r="9" spans="1:12" x14ac:dyDescent="0.25">
      <c r="A9" s="18" t="s">
        <v>259</v>
      </c>
      <c r="B9" s="28">
        <v>27.01</v>
      </c>
      <c r="C9" s="2" t="s">
        <v>8</v>
      </c>
      <c r="D9" s="18" t="s">
        <v>22</v>
      </c>
      <c r="E9" s="18" t="s">
        <v>12</v>
      </c>
      <c r="F9" s="5">
        <v>45657</v>
      </c>
      <c r="G9" s="31" t="s">
        <v>334</v>
      </c>
      <c r="J9" s="13" t="s">
        <v>108</v>
      </c>
      <c r="K9" s="76">
        <v>435.14</v>
      </c>
      <c r="L9"/>
    </row>
    <row r="10" spans="1:12" x14ac:dyDescent="0.25">
      <c r="A10" s="18" t="s">
        <v>260</v>
      </c>
      <c r="B10" s="3">
        <v>68.8</v>
      </c>
      <c r="C10" s="18" t="s">
        <v>8</v>
      </c>
      <c r="D10" s="18" t="s">
        <v>22</v>
      </c>
      <c r="E10" s="8" t="s">
        <v>12</v>
      </c>
      <c r="F10" s="5">
        <v>45668</v>
      </c>
      <c r="G10" s="31" t="s">
        <v>298</v>
      </c>
      <c r="J10" s="13" t="s">
        <v>114</v>
      </c>
      <c r="K10" s="76">
        <v>161.66666666666666</v>
      </c>
      <c r="L10"/>
    </row>
    <row r="11" spans="1:12" x14ac:dyDescent="0.25">
      <c r="A11" s="2" t="s">
        <v>261</v>
      </c>
      <c r="B11" s="3">
        <f>216/6</f>
        <v>36</v>
      </c>
      <c r="C11" s="2" t="s">
        <v>8</v>
      </c>
      <c r="D11" s="2" t="s">
        <v>22</v>
      </c>
      <c r="E11" s="2" t="s">
        <v>12</v>
      </c>
      <c r="F11" s="5">
        <v>45680</v>
      </c>
      <c r="G11" s="31" t="s">
        <v>334</v>
      </c>
      <c r="J11" s="13" t="s">
        <v>63</v>
      </c>
      <c r="K11" s="76">
        <v>735</v>
      </c>
      <c r="L11"/>
    </row>
    <row r="12" spans="1:12" x14ac:dyDescent="0.25">
      <c r="A12" s="2" t="s">
        <v>262</v>
      </c>
      <c r="B12" s="3">
        <f>598.8/12</f>
        <v>49.9</v>
      </c>
      <c r="C12" s="2" t="s">
        <v>8</v>
      </c>
      <c r="D12" s="2" t="s">
        <v>20</v>
      </c>
      <c r="E12" s="2" t="s">
        <v>12</v>
      </c>
      <c r="F12" s="5">
        <v>45681</v>
      </c>
      <c r="G12" s="31" t="s">
        <v>298</v>
      </c>
      <c r="J12" s="13" t="s">
        <v>61</v>
      </c>
      <c r="K12" s="76">
        <v>554.64125000000001</v>
      </c>
      <c r="L12"/>
    </row>
    <row r="13" spans="1:12" x14ac:dyDescent="0.25">
      <c r="A13" s="2" t="s">
        <v>263</v>
      </c>
      <c r="B13" s="3">
        <f>197.94/6</f>
        <v>32.99</v>
      </c>
      <c r="C13" s="2" t="s">
        <v>8</v>
      </c>
      <c r="D13" s="2" t="s">
        <v>11</v>
      </c>
      <c r="E13" s="8" t="s">
        <v>12</v>
      </c>
      <c r="F13" s="5">
        <v>45683</v>
      </c>
      <c r="G13" s="31" t="s">
        <v>334</v>
      </c>
      <c r="J13" s="13" t="s">
        <v>16</v>
      </c>
      <c r="K13" s="76">
        <v>730.19500000000005</v>
      </c>
      <c r="L13"/>
    </row>
    <row r="14" spans="1:12" x14ac:dyDescent="0.25">
      <c r="A14" s="2" t="s">
        <v>264</v>
      </c>
      <c r="B14" s="3">
        <f>(145.67+64.44)/5</f>
        <v>42.021999999999998</v>
      </c>
      <c r="C14" s="2" t="s">
        <v>8</v>
      </c>
      <c r="D14" s="2" t="s">
        <v>14</v>
      </c>
      <c r="E14" s="8" t="s">
        <v>12</v>
      </c>
      <c r="F14" s="8">
        <v>45691</v>
      </c>
      <c r="G14" s="31" t="s">
        <v>309</v>
      </c>
      <c r="J14" s="13" t="s">
        <v>14</v>
      </c>
      <c r="K14" s="76">
        <v>1357.5359999999998</v>
      </c>
      <c r="L14"/>
    </row>
    <row r="15" spans="1:12" x14ac:dyDescent="0.25">
      <c r="A15" s="2" t="s">
        <v>265</v>
      </c>
      <c r="B15" s="3">
        <f>44.54*2/5</f>
        <v>17.815999999999999</v>
      </c>
      <c r="C15" s="2" t="s">
        <v>8</v>
      </c>
      <c r="D15" s="2" t="s">
        <v>22</v>
      </c>
      <c r="E15" s="8" t="s">
        <v>12</v>
      </c>
      <c r="F15" s="8">
        <v>45691</v>
      </c>
      <c r="G15" s="31" t="s">
        <v>309</v>
      </c>
      <c r="J15" s="13" t="s">
        <v>73</v>
      </c>
      <c r="K15" s="76">
        <v>21050.54</v>
      </c>
      <c r="L15"/>
    </row>
    <row r="16" spans="1:12" x14ac:dyDescent="0.25">
      <c r="A16" s="2" t="s">
        <v>266</v>
      </c>
      <c r="B16" s="3">
        <v>42.66</v>
      </c>
      <c r="C16" s="2" t="s">
        <v>8</v>
      </c>
      <c r="D16" s="2" t="s">
        <v>11</v>
      </c>
      <c r="E16" s="2" t="s">
        <v>12</v>
      </c>
      <c r="F16" s="8">
        <v>45698</v>
      </c>
      <c r="G16" s="31" t="s">
        <v>328</v>
      </c>
      <c r="J16" s="13" t="s">
        <v>68</v>
      </c>
      <c r="K16" s="76">
        <v>1133.1099999999999</v>
      </c>
      <c r="L16"/>
    </row>
    <row r="17" spans="1:12" x14ac:dyDescent="0.25">
      <c r="A17" s="2" t="s">
        <v>267</v>
      </c>
      <c r="B17" s="3">
        <v>11.87</v>
      </c>
      <c r="C17" s="2" t="s">
        <v>8</v>
      </c>
      <c r="D17" s="2" t="s">
        <v>11</v>
      </c>
      <c r="E17" s="2" t="s">
        <v>17</v>
      </c>
      <c r="F17" s="8">
        <v>45699</v>
      </c>
      <c r="G17" s="31" t="s">
        <v>309</v>
      </c>
      <c r="J17" s="13" t="s">
        <v>36</v>
      </c>
      <c r="K17" s="76">
        <v>2231.2200000000003</v>
      </c>
      <c r="L17"/>
    </row>
    <row r="18" spans="1:12" x14ac:dyDescent="0.25">
      <c r="A18" s="2" t="s">
        <v>268</v>
      </c>
      <c r="B18" s="3">
        <f>199/6</f>
        <v>33.166666666666664</v>
      </c>
      <c r="C18" s="2" t="s">
        <v>8</v>
      </c>
      <c r="D18" s="2" t="s">
        <v>114</v>
      </c>
      <c r="E18" s="2" t="s">
        <v>12</v>
      </c>
      <c r="F18" s="8">
        <v>45701</v>
      </c>
      <c r="G18" s="31" t="s">
        <v>328</v>
      </c>
      <c r="J18" s="13" t="s">
        <v>11</v>
      </c>
      <c r="K18" s="76">
        <v>1898.2441666666671</v>
      </c>
      <c r="L18"/>
    </row>
    <row r="19" spans="1:12" x14ac:dyDescent="0.25">
      <c r="A19" s="2" t="s">
        <v>269</v>
      </c>
      <c r="B19" s="3">
        <f>29.4/5</f>
        <v>5.88</v>
      </c>
      <c r="C19" s="2" t="s">
        <v>8</v>
      </c>
      <c r="D19" s="2" t="s">
        <v>11</v>
      </c>
      <c r="E19" s="2" t="s">
        <v>17</v>
      </c>
      <c r="F19" s="8">
        <v>45705</v>
      </c>
      <c r="G19" s="31" t="s">
        <v>309</v>
      </c>
      <c r="J19" s="13" t="s">
        <v>31</v>
      </c>
      <c r="K19" s="76">
        <v>1066.5400000000002</v>
      </c>
      <c r="L19"/>
    </row>
    <row r="20" spans="1:12" x14ac:dyDescent="0.25">
      <c r="A20" s="2" t="s">
        <v>270</v>
      </c>
      <c r="B20" s="3">
        <v>116.33</v>
      </c>
      <c r="C20" s="2" t="s">
        <v>8</v>
      </c>
      <c r="D20" s="2" t="s">
        <v>11</v>
      </c>
      <c r="E20" s="2" t="s">
        <v>12</v>
      </c>
      <c r="F20" s="8">
        <v>45710</v>
      </c>
      <c r="G20" s="31" t="s">
        <v>328</v>
      </c>
      <c r="J20" s="13" t="s">
        <v>118</v>
      </c>
      <c r="K20" s="76">
        <v>388.09</v>
      </c>
      <c r="L20"/>
    </row>
    <row r="21" spans="1:12" ht="15.75" customHeight="1" x14ac:dyDescent="0.25">
      <c r="A21" s="83" t="s">
        <v>282</v>
      </c>
      <c r="B21" s="84">
        <v>39.134999999999998</v>
      </c>
      <c r="C21" s="18" t="s">
        <v>8</v>
      </c>
      <c r="D21" s="18" t="s">
        <v>22</v>
      </c>
      <c r="E21" s="83" t="s">
        <v>12</v>
      </c>
      <c r="F21" s="26">
        <v>45718</v>
      </c>
      <c r="G21" s="27" t="s">
        <v>296</v>
      </c>
      <c r="J21" s="13" t="s">
        <v>517</v>
      </c>
      <c r="K21" s="76">
        <v>371.45000000000005</v>
      </c>
      <c r="L21"/>
    </row>
    <row r="22" spans="1:12" ht="15.75" customHeight="1" x14ac:dyDescent="0.25">
      <c r="A22" s="83" t="s">
        <v>284</v>
      </c>
      <c r="B22" s="84">
        <v>173.72499999999999</v>
      </c>
      <c r="C22" s="18" t="s">
        <v>8</v>
      </c>
      <c r="D22" s="18" t="s">
        <v>14</v>
      </c>
      <c r="E22" s="83" t="s">
        <v>12</v>
      </c>
      <c r="F22" s="26">
        <v>45719</v>
      </c>
      <c r="G22" s="27" t="s">
        <v>301</v>
      </c>
      <c r="J22" s="15" t="s">
        <v>130</v>
      </c>
      <c r="K22" s="77">
        <v>39279.159083333325</v>
      </c>
    </row>
    <row r="23" spans="1:12" ht="15.75" customHeight="1" x14ac:dyDescent="0.25">
      <c r="A23" s="83" t="s">
        <v>286</v>
      </c>
      <c r="B23" s="84">
        <v>86.833333333333329</v>
      </c>
      <c r="C23" s="18" t="s">
        <v>8</v>
      </c>
      <c r="D23" s="18" t="s">
        <v>14</v>
      </c>
      <c r="E23" s="83" t="s">
        <v>12</v>
      </c>
      <c r="F23" s="26">
        <v>45719</v>
      </c>
      <c r="G23" s="27" t="s">
        <v>305</v>
      </c>
      <c r="J23"/>
      <c r="K23"/>
    </row>
    <row r="24" spans="1:12" ht="15.75" customHeight="1" x14ac:dyDescent="0.25">
      <c r="A24" s="83" t="s">
        <v>287</v>
      </c>
      <c r="B24" s="84">
        <v>57.179999999999993</v>
      </c>
      <c r="C24" s="18" t="s">
        <v>8</v>
      </c>
      <c r="D24" s="18" t="s">
        <v>22</v>
      </c>
      <c r="E24" s="83" t="s">
        <v>12</v>
      </c>
      <c r="F24" s="26">
        <v>45719</v>
      </c>
      <c r="G24" s="27" t="s">
        <v>308</v>
      </c>
      <c r="J24"/>
      <c r="K24"/>
    </row>
    <row r="25" spans="1:12" ht="15.75" customHeight="1" x14ac:dyDescent="0.25">
      <c r="A25" s="83" t="s">
        <v>288</v>
      </c>
      <c r="B25" s="84">
        <v>51.137500000000003</v>
      </c>
      <c r="C25" s="18" t="s">
        <v>8</v>
      </c>
      <c r="D25" s="18" t="s">
        <v>11</v>
      </c>
      <c r="E25" s="83" t="s">
        <v>12</v>
      </c>
      <c r="F25" s="26">
        <v>45719</v>
      </c>
      <c r="G25" s="27" t="s">
        <v>301</v>
      </c>
      <c r="J25"/>
      <c r="K25"/>
    </row>
    <row r="26" spans="1:12" ht="15.75" customHeight="1" x14ac:dyDescent="0.25">
      <c r="A26" s="83" t="s">
        <v>290</v>
      </c>
      <c r="B26" s="84">
        <v>52.987499999999997</v>
      </c>
      <c r="C26" s="18" t="s">
        <v>8</v>
      </c>
      <c r="D26" s="18" t="s">
        <v>61</v>
      </c>
      <c r="E26" s="83" t="s">
        <v>12</v>
      </c>
      <c r="F26" s="26">
        <v>45721</v>
      </c>
      <c r="G26" s="27" t="s">
        <v>301</v>
      </c>
      <c r="J26"/>
      <c r="K26"/>
    </row>
    <row r="27" spans="1:12" ht="15.75" customHeight="1" x14ac:dyDescent="0.25">
      <c r="A27" s="83" t="s">
        <v>384</v>
      </c>
      <c r="B27" s="84">
        <v>27.408333333333331</v>
      </c>
      <c r="C27" s="18" t="s">
        <v>8</v>
      </c>
      <c r="D27" s="18" t="s">
        <v>11</v>
      </c>
      <c r="E27" s="83" t="s">
        <v>12</v>
      </c>
      <c r="F27" s="26">
        <v>45731</v>
      </c>
      <c r="G27" s="27" t="s">
        <v>331</v>
      </c>
      <c r="J27"/>
      <c r="K27"/>
    </row>
    <row r="28" spans="1:12" ht="15.75" customHeight="1" x14ac:dyDescent="0.25">
      <c r="A28" s="83" t="s">
        <v>385</v>
      </c>
      <c r="B28" s="84">
        <v>27.406666666666666</v>
      </c>
      <c r="C28" s="18" t="s">
        <v>8</v>
      </c>
      <c r="D28" s="18" t="s">
        <v>14</v>
      </c>
      <c r="E28" s="83" t="s">
        <v>12</v>
      </c>
      <c r="F28" s="26">
        <v>45731</v>
      </c>
      <c r="G28" s="27" t="s">
        <v>331</v>
      </c>
      <c r="J28"/>
      <c r="K28"/>
    </row>
    <row r="29" spans="1:12" ht="15.75" customHeight="1" x14ac:dyDescent="0.25">
      <c r="A29" s="83" t="s">
        <v>391</v>
      </c>
      <c r="B29" s="84">
        <v>36.907499999999999</v>
      </c>
      <c r="C29" s="18" t="s">
        <v>8</v>
      </c>
      <c r="D29" s="18" t="s">
        <v>22</v>
      </c>
      <c r="E29" s="83" t="s">
        <v>17</v>
      </c>
      <c r="F29" s="26">
        <v>45734</v>
      </c>
      <c r="G29" s="27" t="s">
        <v>296</v>
      </c>
      <c r="J29"/>
      <c r="K29"/>
    </row>
    <row r="30" spans="1:12" ht="15.75" customHeight="1" x14ac:dyDescent="0.25">
      <c r="A30" s="83" t="s">
        <v>392</v>
      </c>
      <c r="B30" s="84">
        <v>133.25</v>
      </c>
      <c r="C30" s="18" t="s">
        <v>8</v>
      </c>
      <c r="D30" s="18" t="s">
        <v>22</v>
      </c>
      <c r="E30" s="83" t="s">
        <v>17</v>
      </c>
      <c r="F30" s="26">
        <v>45734</v>
      </c>
      <c r="G30" s="27" t="s">
        <v>296</v>
      </c>
      <c r="J30"/>
      <c r="K30"/>
    </row>
    <row r="31" spans="1:12" ht="15.75" customHeight="1" x14ac:dyDescent="0.25">
      <c r="A31" s="83" t="s">
        <v>394</v>
      </c>
      <c r="B31" s="84">
        <v>86.54</v>
      </c>
      <c r="C31" s="18" t="s">
        <v>8</v>
      </c>
      <c r="D31" s="18" t="s">
        <v>11</v>
      </c>
      <c r="E31" s="83" t="s">
        <v>17</v>
      </c>
      <c r="F31" s="26">
        <v>45738</v>
      </c>
      <c r="G31" s="27" t="s">
        <v>305</v>
      </c>
      <c r="J31"/>
      <c r="K31"/>
    </row>
    <row r="32" spans="1:12" ht="15.75" customHeight="1" x14ac:dyDescent="0.25">
      <c r="A32" s="83" t="s">
        <v>400</v>
      </c>
      <c r="B32" s="84">
        <v>54.991666666666667</v>
      </c>
      <c r="C32" s="18" t="s">
        <v>8</v>
      </c>
      <c r="D32" s="18" t="s">
        <v>11</v>
      </c>
      <c r="E32" s="83" t="s">
        <v>12</v>
      </c>
      <c r="F32" s="26">
        <v>45742</v>
      </c>
      <c r="G32" s="27" t="s">
        <v>331</v>
      </c>
      <c r="J32"/>
      <c r="K32"/>
    </row>
    <row r="33" spans="1:11" ht="15.75" customHeight="1" x14ac:dyDescent="0.25">
      <c r="A33" s="83" t="s">
        <v>407</v>
      </c>
      <c r="B33" s="84">
        <v>99.596666666666678</v>
      </c>
      <c r="C33" s="18" t="s">
        <v>8</v>
      </c>
      <c r="D33" s="18" t="s">
        <v>11</v>
      </c>
      <c r="E33" s="83" t="s">
        <v>12</v>
      </c>
      <c r="F33" s="26">
        <v>45746</v>
      </c>
      <c r="G33" s="27" t="s">
        <v>305</v>
      </c>
      <c r="J33"/>
      <c r="K33"/>
    </row>
    <row r="34" spans="1:11" ht="15.75" customHeight="1" x14ac:dyDescent="0.25">
      <c r="A34" s="83" t="s">
        <v>416</v>
      </c>
      <c r="B34" s="84">
        <v>37.6</v>
      </c>
      <c r="C34" s="18" t="s">
        <v>8</v>
      </c>
      <c r="D34" s="18" t="s">
        <v>11</v>
      </c>
      <c r="E34" s="83" t="s">
        <v>12</v>
      </c>
      <c r="F34" s="26">
        <v>45752</v>
      </c>
      <c r="G34" s="27" t="s">
        <v>327</v>
      </c>
      <c r="J34"/>
      <c r="K34"/>
    </row>
    <row r="35" spans="1:11" ht="15.75" customHeight="1" x14ac:dyDescent="0.25">
      <c r="A35" s="83" t="s">
        <v>417</v>
      </c>
      <c r="B35" s="84">
        <v>40.465000000000003</v>
      </c>
      <c r="C35" s="18" t="s">
        <v>8</v>
      </c>
      <c r="D35" s="18" t="s">
        <v>61</v>
      </c>
      <c r="E35" s="83" t="s">
        <v>12</v>
      </c>
      <c r="F35" s="26">
        <v>45753</v>
      </c>
      <c r="G35" s="27" t="s">
        <v>327</v>
      </c>
      <c r="J35"/>
      <c r="K35"/>
    </row>
    <row r="36" spans="1:11" ht="15.75" customHeight="1" x14ac:dyDescent="0.25">
      <c r="A36" s="83" t="s">
        <v>418</v>
      </c>
      <c r="B36" s="84">
        <v>52.28875</v>
      </c>
      <c r="C36" s="18" t="s">
        <v>8</v>
      </c>
      <c r="D36" s="18" t="s">
        <v>61</v>
      </c>
      <c r="E36" s="83" t="s">
        <v>12</v>
      </c>
      <c r="F36" s="26">
        <v>45753</v>
      </c>
      <c r="G36" s="27" t="s">
        <v>420</v>
      </c>
      <c r="J36"/>
      <c r="K36"/>
    </row>
    <row r="37" spans="1:11" ht="15.75" customHeight="1" x14ac:dyDescent="0.25">
      <c r="A37" s="83" t="s">
        <v>422</v>
      </c>
      <c r="B37" s="84">
        <v>27.995000000000001</v>
      </c>
      <c r="C37" s="18" t="s">
        <v>8</v>
      </c>
      <c r="D37" s="18" t="s">
        <v>11</v>
      </c>
      <c r="E37" s="83" t="s">
        <v>12</v>
      </c>
      <c r="F37" s="26">
        <v>45754</v>
      </c>
      <c r="G37" s="27" t="s">
        <v>327</v>
      </c>
      <c r="J37"/>
      <c r="K37"/>
    </row>
    <row r="38" spans="1:11" ht="15.75" customHeight="1" x14ac:dyDescent="0.25">
      <c r="A38" s="83" t="s">
        <v>394</v>
      </c>
      <c r="B38" s="84">
        <v>53.199999999999996</v>
      </c>
      <c r="C38" s="18" t="s">
        <v>8</v>
      </c>
      <c r="D38" s="18" t="s">
        <v>11</v>
      </c>
      <c r="E38" s="83" t="s">
        <v>17</v>
      </c>
      <c r="F38" s="26">
        <v>45761</v>
      </c>
      <c r="G38" s="27" t="s">
        <v>304</v>
      </c>
      <c r="J38"/>
      <c r="K38"/>
    </row>
    <row r="39" spans="1:11" ht="15.75" customHeight="1" x14ac:dyDescent="0.25">
      <c r="A39" s="17" t="s">
        <v>439</v>
      </c>
      <c r="B39" s="36">
        <v>123.5</v>
      </c>
      <c r="C39" s="18" t="s">
        <v>8</v>
      </c>
      <c r="D39" s="18" t="s">
        <v>11</v>
      </c>
      <c r="E39" s="17" t="s">
        <v>12</v>
      </c>
      <c r="F39" s="26">
        <v>45771</v>
      </c>
      <c r="G39" s="27" t="s">
        <v>332</v>
      </c>
      <c r="J39"/>
      <c r="K39"/>
    </row>
    <row r="40" spans="1:11" ht="15.75" customHeight="1" x14ac:dyDescent="0.25">
      <c r="A40" s="17" t="s">
        <v>416</v>
      </c>
      <c r="B40" s="36">
        <v>36.199999999999996</v>
      </c>
      <c r="C40" s="18" t="s">
        <v>8</v>
      </c>
      <c r="D40" s="18" t="s">
        <v>11</v>
      </c>
      <c r="E40" s="17" t="s">
        <v>12</v>
      </c>
      <c r="F40" s="26">
        <v>45772</v>
      </c>
      <c r="G40" s="27" t="s">
        <v>304</v>
      </c>
      <c r="J40"/>
      <c r="K40"/>
    </row>
    <row r="41" spans="1:11" ht="15.75" customHeight="1" x14ac:dyDescent="0.25">
      <c r="A41" s="83" t="s">
        <v>440</v>
      </c>
      <c r="B41" s="84">
        <v>43.094999999999999</v>
      </c>
      <c r="C41" s="18" t="s">
        <v>8</v>
      </c>
      <c r="D41" s="18" t="s">
        <v>11</v>
      </c>
      <c r="E41" s="83" t="s">
        <v>12</v>
      </c>
      <c r="F41" s="26">
        <v>45773</v>
      </c>
      <c r="G41" s="27" t="s">
        <v>327</v>
      </c>
      <c r="J41"/>
      <c r="K41"/>
    </row>
    <row r="42" spans="1:11" ht="15.75" customHeight="1" x14ac:dyDescent="0.25">
      <c r="A42" s="17" t="s">
        <v>447</v>
      </c>
      <c r="B42" s="36">
        <v>50.949999999999996</v>
      </c>
      <c r="C42" s="18" t="s">
        <v>8</v>
      </c>
      <c r="D42" s="18" t="s">
        <v>14</v>
      </c>
      <c r="E42" s="17" t="s">
        <v>12</v>
      </c>
      <c r="F42" s="26">
        <v>45775</v>
      </c>
      <c r="G42" s="27" t="s">
        <v>332</v>
      </c>
      <c r="J42"/>
      <c r="K42"/>
    </row>
    <row r="43" spans="1:11" ht="15.75" customHeight="1" x14ac:dyDescent="0.25">
      <c r="A43" s="81" t="s">
        <v>451</v>
      </c>
      <c r="B43" s="36">
        <v>56.1</v>
      </c>
      <c r="C43" s="81" t="s">
        <v>8</v>
      </c>
      <c r="D43" s="18" t="s">
        <v>36</v>
      </c>
      <c r="E43" s="81" t="s">
        <v>12</v>
      </c>
      <c r="F43" s="26">
        <v>45777</v>
      </c>
      <c r="G43" s="82" t="s">
        <v>293</v>
      </c>
      <c r="J43"/>
      <c r="K43"/>
    </row>
    <row r="44" spans="1:11" ht="15.75" customHeight="1" x14ac:dyDescent="0.25">
      <c r="A44" s="17" t="s">
        <v>453</v>
      </c>
      <c r="B44" s="36">
        <v>71</v>
      </c>
      <c r="C44" s="18" t="s">
        <v>8</v>
      </c>
      <c r="D44" s="18" t="s">
        <v>36</v>
      </c>
      <c r="E44" s="17" t="s">
        <v>12</v>
      </c>
      <c r="F44" s="26">
        <v>45778</v>
      </c>
      <c r="G44" s="27" t="s">
        <v>293</v>
      </c>
      <c r="J44"/>
      <c r="K44"/>
    </row>
    <row r="45" spans="1:11" ht="15.75" customHeight="1" x14ac:dyDescent="0.25">
      <c r="A45" s="83" t="s">
        <v>454</v>
      </c>
      <c r="B45" s="84">
        <v>90.24666666666667</v>
      </c>
      <c r="C45" s="18" t="s">
        <v>8</v>
      </c>
      <c r="D45" s="18" t="s">
        <v>14</v>
      </c>
      <c r="E45" s="83" t="s">
        <v>12</v>
      </c>
      <c r="F45" s="26">
        <v>45778</v>
      </c>
      <c r="G45" s="27" t="s">
        <v>303</v>
      </c>
      <c r="J45"/>
      <c r="K45"/>
    </row>
    <row r="46" spans="1:11" ht="15.75" customHeight="1" x14ac:dyDescent="0.25">
      <c r="A46" s="83" t="s">
        <v>133</v>
      </c>
      <c r="B46" s="84">
        <v>7.18</v>
      </c>
      <c r="C46" s="18" t="s">
        <v>8</v>
      </c>
      <c r="D46" s="18" t="s">
        <v>16</v>
      </c>
      <c r="E46" s="83" t="s">
        <v>12</v>
      </c>
      <c r="F46" s="26">
        <v>45779</v>
      </c>
      <c r="G46" s="27" t="s">
        <v>293</v>
      </c>
      <c r="J46"/>
      <c r="K46"/>
    </row>
    <row r="47" spans="1:11" ht="15.75" customHeight="1" x14ac:dyDescent="0.25">
      <c r="A47" s="17" t="s">
        <v>455</v>
      </c>
      <c r="B47" s="47">
        <v>88.8</v>
      </c>
      <c r="C47" s="18" t="s">
        <v>8</v>
      </c>
      <c r="D47" s="18" t="s">
        <v>114</v>
      </c>
      <c r="E47" s="17" t="s">
        <v>12</v>
      </c>
      <c r="F47" s="26">
        <v>45779</v>
      </c>
      <c r="G47" s="27" t="s">
        <v>293</v>
      </c>
      <c r="J47"/>
      <c r="K47"/>
    </row>
    <row r="48" spans="1:11" ht="15.75" customHeight="1" x14ac:dyDescent="0.25">
      <c r="A48" s="17" t="s">
        <v>456</v>
      </c>
      <c r="B48" s="47">
        <v>52.06</v>
      </c>
      <c r="C48" s="18" t="s">
        <v>8</v>
      </c>
      <c r="D48" s="18" t="s">
        <v>22</v>
      </c>
      <c r="E48" s="17" t="s">
        <v>12</v>
      </c>
      <c r="F48" s="26">
        <v>45779</v>
      </c>
      <c r="G48" s="27" t="s">
        <v>419</v>
      </c>
      <c r="J48"/>
      <c r="K48"/>
    </row>
    <row r="49" spans="1:11" ht="15.75" customHeight="1" x14ac:dyDescent="0.25">
      <c r="A49" s="18" t="s">
        <v>60</v>
      </c>
      <c r="B49" s="3">
        <v>119</v>
      </c>
      <c r="C49" s="18" t="s">
        <v>8</v>
      </c>
      <c r="D49" s="18" t="s">
        <v>61</v>
      </c>
      <c r="E49" s="8" t="s">
        <v>12</v>
      </c>
      <c r="F49" s="5">
        <v>45780</v>
      </c>
      <c r="G49" s="27"/>
      <c r="J49"/>
      <c r="K49"/>
    </row>
    <row r="50" spans="1:11" ht="15.75" customHeight="1" x14ac:dyDescent="0.25">
      <c r="A50" s="18" t="s">
        <v>62</v>
      </c>
      <c r="B50" s="3">
        <v>400</v>
      </c>
      <c r="C50" s="18" t="s">
        <v>8</v>
      </c>
      <c r="D50" s="18" t="s">
        <v>63</v>
      </c>
      <c r="E50" s="8" t="s">
        <v>12</v>
      </c>
      <c r="F50" s="5">
        <v>45780</v>
      </c>
      <c r="G50" s="27"/>
      <c r="J50"/>
      <c r="K50"/>
    </row>
    <row r="51" spans="1:11" ht="15.75" customHeight="1" x14ac:dyDescent="0.25">
      <c r="A51" s="17" t="s">
        <v>457</v>
      </c>
      <c r="B51" s="56">
        <v>39.699999999999996</v>
      </c>
      <c r="C51" s="18" t="s">
        <v>8</v>
      </c>
      <c r="D51" s="18" t="s">
        <v>114</v>
      </c>
      <c r="E51" s="17" t="s">
        <v>12</v>
      </c>
      <c r="F51" s="26">
        <v>45780</v>
      </c>
      <c r="G51" s="27" t="s">
        <v>386</v>
      </c>
      <c r="J51"/>
      <c r="K51"/>
    </row>
    <row r="52" spans="1:11" ht="15.75" customHeight="1" x14ac:dyDescent="0.25">
      <c r="A52" s="17" t="s">
        <v>458</v>
      </c>
      <c r="B52" s="64">
        <v>157.30000000000001</v>
      </c>
      <c r="C52" s="18" t="s">
        <v>8</v>
      </c>
      <c r="D52" s="18" t="s">
        <v>36</v>
      </c>
      <c r="E52" s="17" t="s">
        <v>12</v>
      </c>
      <c r="F52" s="26">
        <v>45780</v>
      </c>
      <c r="G52" s="27" t="s">
        <v>293</v>
      </c>
      <c r="J52"/>
      <c r="K52"/>
    </row>
    <row r="53" spans="1:11" ht="15.75" customHeight="1" x14ac:dyDescent="0.25">
      <c r="A53" s="17" t="s">
        <v>459</v>
      </c>
      <c r="B53" s="64">
        <v>20</v>
      </c>
      <c r="C53" s="18" t="s">
        <v>8</v>
      </c>
      <c r="D53" s="18" t="s">
        <v>36</v>
      </c>
      <c r="E53" s="17" t="s">
        <v>17</v>
      </c>
      <c r="F53" s="26">
        <v>45781</v>
      </c>
      <c r="G53" s="27" t="s">
        <v>293</v>
      </c>
      <c r="J53"/>
      <c r="K53"/>
    </row>
    <row r="54" spans="1:11" ht="15.75" customHeight="1" x14ac:dyDescent="0.25">
      <c r="A54" s="18" t="s">
        <v>64</v>
      </c>
      <c r="B54" s="3">
        <v>289.89999999999998</v>
      </c>
      <c r="C54" s="18" t="s">
        <v>8</v>
      </c>
      <c r="D54" s="18" t="s">
        <v>61</v>
      </c>
      <c r="E54" s="8" t="s">
        <v>17</v>
      </c>
      <c r="F54" s="5">
        <v>45782</v>
      </c>
      <c r="G54" s="27"/>
      <c r="J54"/>
      <c r="K54"/>
    </row>
    <row r="55" spans="1:11" ht="15.75" customHeight="1" x14ac:dyDescent="0.25">
      <c r="A55" s="17" t="s">
        <v>374</v>
      </c>
      <c r="B55" s="64">
        <v>20</v>
      </c>
      <c r="C55" s="18" t="s">
        <v>8</v>
      </c>
      <c r="D55" s="18" t="s">
        <v>16</v>
      </c>
      <c r="E55" s="17" t="s">
        <v>17</v>
      </c>
      <c r="F55" s="26">
        <v>45782</v>
      </c>
      <c r="G55" s="27" t="s">
        <v>293</v>
      </c>
      <c r="J55"/>
      <c r="K55"/>
    </row>
    <row r="56" spans="1:11" ht="15.75" customHeight="1" x14ac:dyDescent="0.25">
      <c r="A56" s="17" t="s">
        <v>43</v>
      </c>
      <c r="B56" s="71">
        <v>274.42</v>
      </c>
      <c r="C56" s="18" t="s">
        <v>8</v>
      </c>
      <c r="D56" s="18" t="s">
        <v>31</v>
      </c>
      <c r="E56" s="17" t="s">
        <v>12</v>
      </c>
      <c r="F56" s="26">
        <v>45782</v>
      </c>
      <c r="G56" s="27" t="s">
        <v>293</v>
      </c>
      <c r="J56"/>
      <c r="K56"/>
    </row>
    <row r="57" spans="1:11" ht="15.75" customHeight="1" x14ac:dyDescent="0.25">
      <c r="A57" s="17" t="s">
        <v>373</v>
      </c>
      <c r="B57" s="73">
        <v>5</v>
      </c>
      <c r="C57" s="18" t="s">
        <v>8</v>
      </c>
      <c r="D57" s="18" t="s">
        <v>63</v>
      </c>
      <c r="E57" s="17" t="s">
        <v>12</v>
      </c>
      <c r="F57" s="26">
        <v>45783</v>
      </c>
      <c r="G57" s="27" t="s">
        <v>293</v>
      </c>
      <c r="J57"/>
      <c r="K57"/>
    </row>
    <row r="58" spans="1:11" ht="15.75" customHeight="1" x14ac:dyDescent="0.25">
      <c r="A58" s="17" t="s">
        <v>120</v>
      </c>
      <c r="B58" s="74">
        <v>10.68</v>
      </c>
      <c r="C58" s="18" t="s">
        <v>8</v>
      </c>
      <c r="D58" s="18" t="s">
        <v>31</v>
      </c>
      <c r="E58" s="17" t="s">
        <v>12</v>
      </c>
      <c r="F58" s="26">
        <v>45783</v>
      </c>
      <c r="G58" s="27" t="s">
        <v>293</v>
      </c>
      <c r="J58"/>
      <c r="K58"/>
    </row>
    <row r="59" spans="1:11" ht="15.75" customHeight="1" x14ac:dyDescent="0.25">
      <c r="A59" s="83" t="s">
        <v>120</v>
      </c>
      <c r="B59" s="84">
        <v>16.920000000000002</v>
      </c>
      <c r="C59" s="18" t="s">
        <v>8</v>
      </c>
      <c r="D59" s="18" t="s">
        <v>31</v>
      </c>
      <c r="E59" s="83" t="s">
        <v>12</v>
      </c>
      <c r="F59" s="26">
        <v>45783</v>
      </c>
      <c r="G59" s="27" t="s">
        <v>293</v>
      </c>
      <c r="J59"/>
      <c r="K59"/>
    </row>
    <row r="60" spans="1:11" ht="15.75" customHeight="1" x14ac:dyDescent="0.25">
      <c r="A60" s="83" t="s">
        <v>25</v>
      </c>
      <c r="B60" s="84">
        <v>75</v>
      </c>
      <c r="C60" s="18" t="s">
        <v>8</v>
      </c>
      <c r="D60" s="18" t="s">
        <v>26</v>
      </c>
      <c r="E60" s="83" t="s">
        <v>17</v>
      </c>
      <c r="F60" s="26">
        <v>45783</v>
      </c>
      <c r="G60" s="27" t="s">
        <v>293</v>
      </c>
      <c r="J60"/>
      <c r="K60"/>
    </row>
    <row r="61" spans="1:11" ht="15.75" customHeight="1" x14ac:dyDescent="0.25">
      <c r="A61" s="83" t="s">
        <v>120</v>
      </c>
      <c r="B61" s="84">
        <v>10.73</v>
      </c>
      <c r="C61" s="18" t="s">
        <v>8</v>
      </c>
      <c r="D61" s="18" t="s">
        <v>31</v>
      </c>
      <c r="E61" s="83" t="s">
        <v>12</v>
      </c>
      <c r="F61" s="26">
        <v>45784</v>
      </c>
      <c r="G61" s="27" t="s">
        <v>293</v>
      </c>
      <c r="J61"/>
      <c r="K61"/>
    </row>
    <row r="62" spans="1:11" ht="15.75" customHeight="1" x14ac:dyDescent="0.25">
      <c r="A62" s="83" t="s">
        <v>461</v>
      </c>
      <c r="B62" s="84">
        <v>82.759999999999991</v>
      </c>
      <c r="C62" s="18" t="s">
        <v>8</v>
      </c>
      <c r="D62" s="18" t="s">
        <v>31</v>
      </c>
      <c r="E62" s="83" t="s">
        <v>12</v>
      </c>
      <c r="F62" s="26">
        <v>45785</v>
      </c>
      <c r="G62" s="27" t="s">
        <v>293</v>
      </c>
      <c r="J62"/>
      <c r="K62"/>
    </row>
    <row r="63" spans="1:11" ht="15.75" customHeight="1" x14ac:dyDescent="0.25">
      <c r="A63" s="83" t="s">
        <v>464</v>
      </c>
      <c r="B63" s="84">
        <v>165.05</v>
      </c>
      <c r="C63" s="18" t="s">
        <v>8</v>
      </c>
      <c r="D63" s="18" t="s">
        <v>11</v>
      </c>
      <c r="E63" s="83" t="s">
        <v>12</v>
      </c>
      <c r="F63" s="26">
        <v>45785</v>
      </c>
      <c r="G63" s="27" t="s">
        <v>293</v>
      </c>
      <c r="J63"/>
      <c r="K63"/>
    </row>
    <row r="64" spans="1:11" ht="15.75" customHeight="1" x14ac:dyDescent="0.25">
      <c r="A64" s="83" t="s">
        <v>177</v>
      </c>
      <c r="B64" s="84">
        <v>120</v>
      </c>
      <c r="C64" s="18" t="s">
        <v>8</v>
      </c>
      <c r="D64" s="18" t="s">
        <v>11</v>
      </c>
      <c r="E64" s="83" t="s">
        <v>17</v>
      </c>
      <c r="F64" s="26">
        <v>45786</v>
      </c>
      <c r="G64" s="27" t="s">
        <v>293</v>
      </c>
      <c r="J64"/>
      <c r="K64"/>
    </row>
    <row r="65" spans="1:11" ht="15.75" customHeight="1" x14ac:dyDescent="0.25">
      <c r="A65" s="83" t="s">
        <v>460</v>
      </c>
      <c r="B65" s="84">
        <v>46.5</v>
      </c>
      <c r="C65" s="18" t="s">
        <v>8</v>
      </c>
      <c r="D65" s="18" t="s">
        <v>36</v>
      </c>
      <c r="E65" s="83" t="s">
        <v>17</v>
      </c>
      <c r="F65" s="26">
        <v>45786</v>
      </c>
      <c r="G65" s="27" t="s">
        <v>293</v>
      </c>
      <c r="J65"/>
      <c r="K65"/>
    </row>
    <row r="66" spans="1:11" ht="15.75" customHeight="1" x14ac:dyDescent="0.25">
      <c r="A66" s="83" t="s">
        <v>133</v>
      </c>
      <c r="B66" s="84">
        <v>95.47</v>
      </c>
      <c r="C66" s="18" t="s">
        <v>8</v>
      </c>
      <c r="D66" s="18" t="s">
        <v>16</v>
      </c>
      <c r="E66" s="83" t="s">
        <v>17</v>
      </c>
      <c r="F66" s="26">
        <v>45786</v>
      </c>
      <c r="G66" s="27" t="s">
        <v>293</v>
      </c>
      <c r="J66"/>
      <c r="K66"/>
    </row>
    <row r="67" spans="1:11" ht="15.75" customHeight="1" x14ac:dyDescent="0.25">
      <c r="A67" s="83" t="s">
        <v>120</v>
      </c>
      <c r="B67" s="84">
        <v>18.14</v>
      </c>
      <c r="C67" s="18" t="s">
        <v>8</v>
      </c>
      <c r="D67" s="18" t="s">
        <v>31</v>
      </c>
      <c r="E67" s="83" t="s">
        <v>17</v>
      </c>
      <c r="F67" s="26">
        <v>45786</v>
      </c>
      <c r="G67" s="27" t="s">
        <v>293</v>
      </c>
      <c r="J67"/>
      <c r="K67"/>
    </row>
    <row r="68" spans="1:11" ht="15.75" customHeight="1" x14ac:dyDescent="0.25">
      <c r="A68" s="83" t="s">
        <v>120</v>
      </c>
      <c r="B68" s="84">
        <v>12.35</v>
      </c>
      <c r="C68" s="18" t="s">
        <v>8</v>
      </c>
      <c r="D68" s="18" t="s">
        <v>31</v>
      </c>
      <c r="E68" s="83" t="s">
        <v>17</v>
      </c>
      <c r="F68" s="26">
        <v>45786</v>
      </c>
      <c r="G68" s="27" t="s">
        <v>293</v>
      </c>
      <c r="J68"/>
      <c r="K68"/>
    </row>
    <row r="69" spans="1:11" ht="15.75" customHeight="1" x14ac:dyDescent="0.25">
      <c r="A69" s="83" t="s">
        <v>465</v>
      </c>
      <c r="B69" s="84">
        <v>30</v>
      </c>
      <c r="C69" s="18" t="s">
        <v>8</v>
      </c>
      <c r="D69" s="18" t="s">
        <v>36</v>
      </c>
      <c r="E69" s="83" t="s">
        <v>12</v>
      </c>
      <c r="F69" s="26">
        <v>45786</v>
      </c>
      <c r="G69" s="27" t="s">
        <v>293</v>
      </c>
      <c r="J69"/>
      <c r="K69"/>
    </row>
    <row r="70" spans="1:11" ht="15.75" customHeight="1" x14ac:dyDescent="0.25">
      <c r="A70" s="83" t="s">
        <v>466</v>
      </c>
      <c r="B70" s="84">
        <v>49</v>
      </c>
      <c r="C70" s="18" t="s">
        <v>8</v>
      </c>
      <c r="D70" s="18" t="s">
        <v>108</v>
      </c>
      <c r="E70" s="83" t="s">
        <v>12</v>
      </c>
      <c r="F70" s="26">
        <v>45786</v>
      </c>
      <c r="G70" s="27" t="s">
        <v>293</v>
      </c>
      <c r="J70"/>
      <c r="K70"/>
    </row>
    <row r="71" spans="1:11" ht="15.75" customHeight="1" x14ac:dyDescent="0.25">
      <c r="A71" s="18" t="s">
        <v>66</v>
      </c>
      <c r="B71" s="3">
        <v>150</v>
      </c>
      <c r="C71" s="18" t="s">
        <v>8</v>
      </c>
      <c r="D71" s="18" t="s">
        <v>63</v>
      </c>
      <c r="E71" s="8" t="s">
        <v>17</v>
      </c>
      <c r="F71" s="5">
        <v>45787</v>
      </c>
      <c r="G71" s="27"/>
      <c r="J71"/>
      <c r="K71"/>
    </row>
    <row r="72" spans="1:11" ht="15.75" customHeight="1" x14ac:dyDescent="0.25">
      <c r="A72" s="83" t="s">
        <v>462</v>
      </c>
      <c r="B72" s="84">
        <v>115</v>
      </c>
      <c r="C72" s="18" t="s">
        <v>8</v>
      </c>
      <c r="D72" s="18" t="s">
        <v>11</v>
      </c>
      <c r="E72" s="83" t="s">
        <v>12</v>
      </c>
      <c r="F72" s="26">
        <v>45787</v>
      </c>
      <c r="G72" s="27" t="s">
        <v>293</v>
      </c>
      <c r="J72"/>
      <c r="K72"/>
    </row>
    <row r="73" spans="1:11" ht="15.75" customHeight="1" x14ac:dyDescent="0.25">
      <c r="A73" s="83" t="s">
        <v>467</v>
      </c>
      <c r="B73" s="84">
        <v>25</v>
      </c>
      <c r="C73" s="18" t="s">
        <v>8</v>
      </c>
      <c r="D73" s="18" t="s">
        <v>36</v>
      </c>
      <c r="E73" s="83" t="s">
        <v>12</v>
      </c>
      <c r="F73" s="26">
        <v>45787</v>
      </c>
      <c r="G73" s="27" t="s">
        <v>293</v>
      </c>
      <c r="J73"/>
      <c r="K73"/>
    </row>
    <row r="74" spans="1:11" ht="15.75" customHeight="1" x14ac:dyDescent="0.25">
      <c r="A74" s="83" t="s">
        <v>468</v>
      </c>
      <c r="B74" s="84">
        <v>5.95</v>
      </c>
      <c r="C74" s="18" t="s">
        <v>8</v>
      </c>
      <c r="D74" s="18" t="s">
        <v>36</v>
      </c>
      <c r="E74" s="83" t="s">
        <v>12</v>
      </c>
      <c r="F74" s="26">
        <v>45787</v>
      </c>
      <c r="G74" s="27" t="s">
        <v>293</v>
      </c>
      <c r="J74"/>
      <c r="K74"/>
    </row>
    <row r="75" spans="1:11" ht="15.75" customHeight="1" x14ac:dyDescent="0.25">
      <c r="A75" s="83" t="s">
        <v>469</v>
      </c>
      <c r="B75" s="84">
        <v>176.88</v>
      </c>
      <c r="C75" s="18" t="s">
        <v>8</v>
      </c>
      <c r="D75" s="18" t="s">
        <v>36</v>
      </c>
      <c r="E75" s="83" t="s">
        <v>12</v>
      </c>
      <c r="F75" s="26">
        <v>45787</v>
      </c>
      <c r="G75" s="27" t="s">
        <v>293</v>
      </c>
      <c r="J75"/>
      <c r="K75"/>
    </row>
    <row r="76" spans="1:11" ht="15.75" customHeight="1" x14ac:dyDescent="0.25">
      <c r="A76" s="83" t="s">
        <v>128</v>
      </c>
      <c r="B76" s="84">
        <v>20</v>
      </c>
      <c r="C76" s="18" t="s">
        <v>8</v>
      </c>
      <c r="D76" s="18" t="s">
        <v>63</v>
      </c>
      <c r="E76" s="83" t="s">
        <v>12</v>
      </c>
      <c r="F76" s="26">
        <v>45788</v>
      </c>
      <c r="G76" s="27" t="s">
        <v>293</v>
      </c>
      <c r="J76"/>
      <c r="K76"/>
    </row>
    <row r="77" spans="1:11" ht="15.75" customHeight="1" x14ac:dyDescent="0.25">
      <c r="A77" s="83" t="s">
        <v>470</v>
      </c>
      <c r="B77" s="84">
        <v>471.64</v>
      </c>
      <c r="C77" s="18" t="s">
        <v>8</v>
      </c>
      <c r="D77" s="18" t="s">
        <v>36</v>
      </c>
      <c r="E77" s="83" t="s">
        <v>12</v>
      </c>
      <c r="F77" s="26">
        <v>45788</v>
      </c>
      <c r="G77" s="27" t="s">
        <v>293</v>
      </c>
      <c r="J77"/>
      <c r="K77"/>
    </row>
    <row r="78" spans="1:11" ht="15.75" customHeight="1" x14ac:dyDescent="0.25">
      <c r="A78" s="83" t="s">
        <v>463</v>
      </c>
      <c r="B78" s="84">
        <v>180</v>
      </c>
      <c r="C78" s="18" t="s">
        <v>8</v>
      </c>
      <c r="D78" s="18" t="s">
        <v>36</v>
      </c>
      <c r="E78" s="83" t="s">
        <v>12</v>
      </c>
      <c r="F78" s="26">
        <v>45789</v>
      </c>
      <c r="G78" s="27" t="s">
        <v>293</v>
      </c>
      <c r="J78"/>
      <c r="K78"/>
    </row>
    <row r="79" spans="1:11" ht="15.75" customHeight="1" x14ac:dyDescent="0.25">
      <c r="A79" s="18" t="s">
        <v>69</v>
      </c>
      <c r="B79" s="3">
        <v>5000</v>
      </c>
      <c r="C79" s="18" t="s">
        <v>8</v>
      </c>
      <c r="D79" s="18" t="s">
        <v>70</v>
      </c>
      <c r="E79" s="8" t="s">
        <v>12</v>
      </c>
      <c r="F79" s="5">
        <v>45792</v>
      </c>
      <c r="G79" s="27"/>
      <c r="J79"/>
      <c r="K79"/>
    </row>
    <row r="80" spans="1:11" ht="15.75" customHeight="1" x14ac:dyDescent="0.25">
      <c r="A80" s="18" t="s">
        <v>71</v>
      </c>
      <c r="B80" s="3">
        <v>5679.6</v>
      </c>
      <c r="C80" s="18" t="s">
        <v>72</v>
      </c>
      <c r="D80" s="18" t="s">
        <v>73</v>
      </c>
      <c r="E80" s="8" t="s">
        <v>17</v>
      </c>
      <c r="F80" s="5">
        <v>45792</v>
      </c>
      <c r="G80" s="27"/>
      <c r="J80"/>
      <c r="K80"/>
    </row>
    <row r="81" spans="1:11" ht="15.75" customHeight="1" x14ac:dyDescent="0.25">
      <c r="A81" s="18" t="s">
        <v>74</v>
      </c>
      <c r="B81" s="3">
        <v>5710.37</v>
      </c>
      <c r="C81" s="18" t="s">
        <v>72</v>
      </c>
      <c r="D81" s="18" t="s">
        <v>73</v>
      </c>
      <c r="E81" s="8" t="s">
        <v>12</v>
      </c>
      <c r="F81" s="5">
        <v>45792</v>
      </c>
      <c r="G81" s="27"/>
      <c r="J81"/>
      <c r="K81"/>
    </row>
    <row r="82" spans="1:11" ht="15.75" customHeight="1" x14ac:dyDescent="0.25">
      <c r="A82" s="18" t="s">
        <v>75</v>
      </c>
      <c r="B82" s="3">
        <v>60</v>
      </c>
      <c r="C82" s="18" t="s">
        <v>8</v>
      </c>
      <c r="D82" s="18" t="s">
        <v>63</v>
      </c>
      <c r="E82" s="8" t="s">
        <v>12</v>
      </c>
      <c r="F82" s="5">
        <v>45795</v>
      </c>
      <c r="G82" s="27"/>
      <c r="J82"/>
      <c r="K82"/>
    </row>
    <row r="83" spans="1:11" ht="15.75" customHeight="1" x14ac:dyDescent="0.25">
      <c r="A83" s="18" t="s">
        <v>85</v>
      </c>
      <c r="B83" s="28">
        <v>25.9</v>
      </c>
      <c r="C83" s="18" t="s">
        <v>8</v>
      </c>
      <c r="D83" s="18" t="s">
        <v>20</v>
      </c>
      <c r="E83" s="8" t="s">
        <v>12</v>
      </c>
      <c r="F83" s="5">
        <v>45795</v>
      </c>
      <c r="G83" s="27"/>
      <c r="J83"/>
      <c r="K83"/>
    </row>
    <row r="84" spans="1:11" ht="15.75" customHeight="1" x14ac:dyDescent="0.25">
      <c r="A84" s="18" t="s">
        <v>76</v>
      </c>
      <c r="B84" s="3">
        <v>100</v>
      </c>
      <c r="C84" s="18" t="s">
        <v>8</v>
      </c>
      <c r="D84" s="18" t="s">
        <v>63</v>
      </c>
      <c r="E84" s="8" t="s">
        <v>12</v>
      </c>
      <c r="F84" s="5">
        <v>45802</v>
      </c>
      <c r="G84" s="27"/>
      <c r="J84"/>
      <c r="K84"/>
    </row>
    <row r="85" spans="1:11" ht="15.75" customHeight="1" x14ac:dyDescent="0.25">
      <c r="A85" s="18" t="s">
        <v>77</v>
      </c>
      <c r="B85" s="3">
        <v>49.9</v>
      </c>
      <c r="C85" s="18" t="s">
        <v>8</v>
      </c>
      <c r="D85" s="18" t="s">
        <v>20</v>
      </c>
      <c r="E85" s="8" t="s">
        <v>12</v>
      </c>
      <c r="F85" s="5">
        <v>45802</v>
      </c>
      <c r="G85" s="27"/>
      <c r="J85"/>
      <c r="K85"/>
    </row>
    <row r="86" spans="1:11" ht="15.75" customHeight="1" x14ac:dyDescent="0.25">
      <c r="A86" s="18" t="s">
        <v>78</v>
      </c>
      <c r="B86" s="3">
        <v>12.9</v>
      </c>
      <c r="C86" s="18" t="s">
        <v>8</v>
      </c>
      <c r="D86" s="18" t="s">
        <v>20</v>
      </c>
      <c r="E86" s="8" t="s">
        <v>12</v>
      </c>
      <c r="F86" s="5">
        <v>45805</v>
      </c>
      <c r="G86" s="27"/>
      <c r="J86"/>
      <c r="K86"/>
    </row>
    <row r="87" spans="1:11" ht="15.75" customHeight="1" x14ac:dyDescent="0.25">
      <c r="A87" s="18" t="s">
        <v>80</v>
      </c>
      <c r="B87" s="3">
        <v>857.05</v>
      </c>
      <c r="C87" s="18" t="s">
        <v>8</v>
      </c>
      <c r="D87" s="18" t="s">
        <v>68</v>
      </c>
      <c r="E87" s="8" t="s">
        <v>12</v>
      </c>
      <c r="F87" s="5">
        <v>45789</v>
      </c>
      <c r="G87" s="27"/>
      <c r="J87"/>
      <c r="K87"/>
    </row>
    <row r="88" spans="1:11" ht="15.75" customHeight="1" x14ac:dyDescent="0.25">
      <c r="A88" s="18" t="s">
        <v>81</v>
      </c>
      <c r="B88" s="3">
        <v>113.7</v>
      </c>
      <c r="C88" s="18" t="s">
        <v>8</v>
      </c>
      <c r="D88" s="18" t="s">
        <v>68</v>
      </c>
      <c r="E88" s="8" t="s">
        <v>12</v>
      </c>
      <c r="F88" s="5">
        <v>45807</v>
      </c>
      <c r="G88" s="27"/>
      <c r="J88"/>
      <c r="K88"/>
    </row>
    <row r="89" spans="1:11" ht="15.75" customHeight="1" x14ac:dyDescent="0.25">
      <c r="A89" s="18" t="s">
        <v>82</v>
      </c>
      <c r="B89" s="3">
        <v>50</v>
      </c>
      <c r="C89" s="18" t="s">
        <v>8</v>
      </c>
      <c r="D89" s="18" t="s">
        <v>68</v>
      </c>
      <c r="E89" s="8" t="s">
        <v>12</v>
      </c>
      <c r="F89" s="5">
        <v>45807</v>
      </c>
      <c r="G89" s="27"/>
      <c r="J89"/>
      <c r="K89"/>
    </row>
    <row r="90" spans="1:11" ht="15.75" customHeight="1" x14ac:dyDescent="0.25">
      <c r="A90" s="18" t="s">
        <v>83</v>
      </c>
      <c r="B90" s="3">
        <v>4514.46</v>
      </c>
      <c r="C90" s="18" t="s">
        <v>72</v>
      </c>
      <c r="D90" s="18" t="s">
        <v>73</v>
      </c>
      <c r="E90" s="8" t="s">
        <v>12</v>
      </c>
      <c r="F90" s="5">
        <v>45807</v>
      </c>
      <c r="G90" s="27"/>
      <c r="J90"/>
      <c r="K90"/>
    </row>
    <row r="91" spans="1:11" ht="15.75" customHeight="1" x14ac:dyDescent="0.25">
      <c r="A91" s="18" t="s">
        <v>84</v>
      </c>
      <c r="B91" s="3">
        <v>3000</v>
      </c>
      <c r="C91" s="18" t="s">
        <v>72</v>
      </c>
      <c r="D91" s="18" t="s">
        <v>73</v>
      </c>
      <c r="E91" s="8" t="s">
        <v>17</v>
      </c>
      <c r="F91" s="5">
        <v>45807</v>
      </c>
      <c r="G91" s="27"/>
      <c r="J91"/>
      <c r="K91"/>
    </row>
    <row r="92" spans="1:11" s="108" customFormat="1" ht="15.75" customHeight="1" x14ac:dyDescent="0.25">
      <c r="A92" s="112" t="s">
        <v>515</v>
      </c>
      <c r="B92" s="3">
        <v>2146.11</v>
      </c>
      <c r="C92" s="18" t="s">
        <v>72</v>
      </c>
      <c r="D92" s="18" t="s">
        <v>73</v>
      </c>
      <c r="E92" s="8" t="s">
        <v>17</v>
      </c>
      <c r="F92" s="5">
        <v>45807</v>
      </c>
      <c r="G92" s="27"/>
      <c r="J92" s="107"/>
      <c r="K92" s="107"/>
    </row>
    <row r="93" spans="1:11" ht="15.75" customHeight="1" x14ac:dyDescent="0.25">
      <c r="A93" s="17" t="s">
        <v>471</v>
      </c>
      <c r="B93" s="85">
        <v>122.45</v>
      </c>
      <c r="C93" s="18" t="s">
        <v>8</v>
      </c>
      <c r="D93" s="18" t="s">
        <v>11</v>
      </c>
      <c r="E93" s="17" t="s">
        <v>17</v>
      </c>
      <c r="F93" s="26">
        <v>45789</v>
      </c>
      <c r="G93" s="27" t="s">
        <v>299</v>
      </c>
      <c r="J93"/>
      <c r="K93"/>
    </row>
    <row r="94" spans="1:11" ht="15.75" customHeight="1" x14ac:dyDescent="0.25">
      <c r="A94" s="17" t="s">
        <v>120</v>
      </c>
      <c r="B94" s="85">
        <v>9.4700000000000006</v>
      </c>
      <c r="C94" s="18" t="s">
        <v>8</v>
      </c>
      <c r="D94" s="18" t="s">
        <v>31</v>
      </c>
      <c r="E94" s="17" t="s">
        <v>17</v>
      </c>
      <c r="F94" s="26">
        <v>45789</v>
      </c>
      <c r="G94" s="27" t="s">
        <v>293</v>
      </c>
      <c r="J94"/>
      <c r="K94"/>
    </row>
    <row r="95" spans="1:11" ht="15.75" customHeight="1" x14ac:dyDescent="0.25">
      <c r="A95" s="17" t="s">
        <v>120</v>
      </c>
      <c r="B95" s="85">
        <v>17.13</v>
      </c>
      <c r="C95" s="18" t="s">
        <v>8</v>
      </c>
      <c r="D95" s="18" t="s">
        <v>31</v>
      </c>
      <c r="E95" s="17" t="s">
        <v>17</v>
      </c>
      <c r="F95" s="26">
        <v>45789</v>
      </c>
      <c r="G95" s="27" t="s">
        <v>293</v>
      </c>
      <c r="J95"/>
      <c r="K95"/>
    </row>
    <row r="96" spans="1:11" ht="15.75" customHeight="1" x14ac:dyDescent="0.25">
      <c r="A96" s="17" t="s">
        <v>472</v>
      </c>
      <c r="B96" s="85">
        <v>43.52</v>
      </c>
      <c r="C96" s="18" t="s">
        <v>8</v>
      </c>
      <c r="D96" s="18" t="s">
        <v>16</v>
      </c>
      <c r="E96" s="17" t="s">
        <v>12</v>
      </c>
      <c r="F96" s="26">
        <v>45789</v>
      </c>
      <c r="G96" s="27" t="s">
        <v>293</v>
      </c>
      <c r="J96"/>
      <c r="K96"/>
    </row>
    <row r="97" spans="1:11" ht="15.75" customHeight="1" x14ac:dyDescent="0.25">
      <c r="A97" s="17" t="s">
        <v>120</v>
      </c>
      <c r="B97" s="86">
        <v>14.41</v>
      </c>
      <c r="C97" s="18" t="s">
        <v>8</v>
      </c>
      <c r="D97" s="18" t="s">
        <v>31</v>
      </c>
      <c r="E97" s="17" t="s">
        <v>12</v>
      </c>
      <c r="F97" s="26">
        <v>45789</v>
      </c>
      <c r="G97" s="27" t="s">
        <v>293</v>
      </c>
      <c r="J97"/>
      <c r="K97"/>
    </row>
    <row r="98" spans="1:11" ht="15.75" customHeight="1" x14ac:dyDescent="0.25">
      <c r="A98" s="17" t="s">
        <v>473</v>
      </c>
      <c r="B98" s="86">
        <v>21.94</v>
      </c>
      <c r="C98" s="18" t="s">
        <v>8</v>
      </c>
      <c r="D98" s="18" t="s">
        <v>11</v>
      </c>
      <c r="E98" s="17" t="s">
        <v>12</v>
      </c>
      <c r="F98" s="26">
        <v>45789</v>
      </c>
      <c r="G98" s="27" t="s">
        <v>293</v>
      </c>
      <c r="J98"/>
      <c r="K98"/>
    </row>
    <row r="99" spans="1:11" ht="15.75" customHeight="1" x14ac:dyDescent="0.25">
      <c r="A99" s="17" t="s">
        <v>474</v>
      </c>
      <c r="B99" s="87">
        <v>36</v>
      </c>
      <c r="C99" s="18" t="s">
        <v>8</v>
      </c>
      <c r="D99" s="18" t="s">
        <v>16</v>
      </c>
      <c r="E99" s="17" t="s">
        <v>17</v>
      </c>
      <c r="F99" s="26">
        <v>45790</v>
      </c>
      <c r="G99" s="27" t="s">
        <v>293</v>
      </c>
      <c r="J99"/>
      <c r="K99"/>
    </row>
    <row r="100" spans="1:11" ht="15.75" customHeight="1" x14ac:dyDescent="0.25">
      <c r="A100" s="17" t="s">
        <v>163</v>
      </c>
      <c r="B100" s="87">
        <v>69.900000000000006</v>
      </c>
      <c r="C100" s="18" t="s">
        <v>8</v>
      </c>
      <c r="D100" s="18" t="s">
        <v>22</v>
      </c>
      <c r="E100" s="17" t="s">
        <v>17</v>
      </c>
      <c r="F100" s="26">
        <v>45790</v>
      </c>
      <c r="G100" s="27" t="s">
        <v>293</v>
      </c>
      <c r="J100"/>
      <c r="K100"/>
    </row>
    <row r="101" spans="1:11" ht="15.75" customHeight="1" x14ac:dyDescent="0.25">
      <c r="A101" s="17" t="s">
        <v>475</v>
      </c>
      <c r="B101" s="87">
        <v>8</v>
      </c>
      <c r="C101" s="18" t="s">
        <v>8</v>
      </c>
      <c r="D101" s="18" t="s">
        <v>11</v>
      </c>
      <c r="E101" s="17" t="s">
        <v>17</v>
      </c>
      <c r="F101" s="26">
        <v>45790</v>
      </c>
      <c r="G101" s="27" t="s">
        <v>293</v>
      </c>
      <c r="J101"/>
      <c r="K101"/>
    </row>
    <row r="102" spans="1:11" ht="15.75" customHeight="1" x14ac:dyDescent="0.25">
      <c r="A102" s="17" t="s">
        <v>476</v>
      </c>
      <c r="B102" s="87">
        <v>45</v>
      </c>
      <c r="C102" s="18" t="s">
        <v>8</v>
      </c>
      <c r="D102" s="18" t="s">
        <v>14</v>
      </c>
      <c r="E102" s="17" t="s">
        <v>17</v>
      </c>
      <c r="F102" s="26">
        <v>45791</v>
      </c>
      <c r="G102" s="27" t="s">
        <v>293</v>
      </c>
      <c r="J102"/>
      <c r="K102"/>
    </row>
    <row r="103" spans="1:11" ht="15.75" customHeight="1" x14ac:dyDescent="0.25">
      <c r="A103" s="17" t="s">
        <v>120</v>
      </c>
      <c r="B103" s="87">
        <v>10.81</v>
      </c>
      <c r="C103" s="18" t="s">
        <v>8</v>
      </c>
      <c r="D103" s="18" t="s">
        <v>31</v>
      </c>
      <c r="E103" s="17" t="s">
        <v>12</v>
      </c>
      <c r="F103" s="26">
        <v>45790</v>
      </c>
      <c r="G103" s="27" t="s">
        <v>293</v>
      </c>
      <c r="J103"/>
      <c r="K103"/>
    </row>
    <row r="104" spans="1:11" ht="15.75" customHeight="1" x14ac:dyDescent="0.25">
      <c r="A104" s="17" t="s">
        <v>120</v>
      </c>
      <c r="B104" s="87">
        <v>9.4700000000000006</v>
      </c>
      <c r="C104" s="18" t="s">
        <v>8</v>
      </c>
      <c r="D104" s="18" t="s">
        <v>31</v>
      </c>
      <c r="E104" s="17" t="s">
        <v>12</v>
      </c>
      <c r="F104" s="26">
        <v>45790</v>
      </c>
      <c r="G104" s="27" t="s">
        <v>293</v>
      </c>
      <c r="J104"/>
      <c r="K104"/>
    </row>
    <row r="105" spans="1:11" ht="15.75" customHeight="1" x14ac:dyDescent="0.25">
      <c r="A105" s="17" t="s">
        <v>13</v>
      </c>
      <c r="B105" s="87">
        <v>31.9</v>
      </c>
      <c r="C105" s="18" t="s">
        <v>8</v>
      </c>
      <c r="D105" s="18" t="s">
        <v>14</v>
      </c>
      <c r="E105" s="17" t="s">
        <v>12</v>
      </c>
      <c r="F105" s="26">
        <v>45790</v>
      </c>
      <c r="G105" s="27" t="s">
        <v>293</v>
      </c>
      <c r="J105"/>
      <c r="K105"/>
    </row>
    <row r="106" spans="1:11" ht="15.75" customHeight="1" x14ac:dyDescent="0.25">
      <c r="A106" s="17" t="s">
        <v>133</v>
      </c>
      <c r="B106" s="87">
        <v>7.58</v>
      </c>
      <c r="C106" s="18" t="s">
        <v>8</v>
      </c>
      <c r="D106" s="18" t="s">
        <v>16</v>
      </c>
      <c r="E106" s="17" t="s">
        <v>12</v>
      </c>
      <c r="F106" s="26">
        <v>45790</v>
      </c>
      <c r="G106" s="27" t="s">
        <v>293</v>
      </c>
      <c r="J106"/>
      <c r="K106"/>
    </row>
    <row r="107" spans="1:11" ht="15.75" customHeight="1" x14ac:dyDescent="0.25">
      <c r="A107" s="17" t="s">
        <v>411</v>
      </c>
      <c r="B107" s="88">
        <v>20</v>
      </c>
      <c r="C107" s="18" t="s">
        <v>8</v>
      </c>
      <c r="D107" s="18" t="s">
        <v>16</v>
      </c>
      <c r="E107" s="17" t="s">
        <v>17</v>
      </c>
      <c r="F107" s="26">
        <v>45791</v>
      </c>
      <c r="G107" s="27" t="s">
        <v>293</v>
      </c>
      <c r="J107"/>
      <c r="K107"/>
    </row>
    <row r="108" spans="1:11" ht="15.75" customHeight="1" x14ac:dyDescent="0.25">
      <c r="A108" s="17" t="s">
        <v>468</v>
      </c>
      <c r="B108" s="90">
        <v>5.95</v>
      </c>
      <c r="C108" s="18" t="s">
        <v>8</v>
      </c>
      <c r="D108" s="18" t="s">
        <v>36</v>
      </c>
      <c r="E108" s="17" t="s">
        <v>17</v>
      </c>
      <c r="F108" s="26">
        <v>45792</v>
      </c>
      <c r="G108" s="27" t="s">
        <v>293</v>
      </c>
      <c r="J108"/>
      <c r="K108"/>
    </row>
    <row r="109" spans="1:11" s="98" customFormat="1" ht="15.75" customHeight="1" x14ac:dyDescent="0.25">
      <c r="A109" s="103" t="s">
        <v>175</v>
      </c>
      <c r="B109" s="99">
        <v>152</v>
      </c>
      <c r="C109" s="103" t="s">
        <v>8</v>
      </c>
      <c r="D109" s="103" t="s">
        <v>22</v>
      </c>
      <c r="E109" s="103" t="s">
        <v>17</v>
      </c>
      <c r="F109" s="26">
        <v>45792</v>
      </c>
      <c r="G109" s="104" t="s">
        <v>293</v>
      </c>
      <c r="J109" s="97"/>
      <c r="K109" s="97"/>
    </row>
    <row r="110" spans="1:11" ht="15.75" customHeight="1" x14ac:dyDescent="0.25">
      <c r="A110" s="17" t="s">
        <v>430</v>
      </c>
      <c r="B110" s="90">
        <v>50</v>
      </c>
      <c r="C110" s="18" t="s">
        <v>8</v>
      </c>
      <c r="D110" s="18" t="s">
        <v>31</v>
      </c>
      <c r="E110" s="17" t="s">
        <v>17</v>
      </c>
      <c r="F110" s="26">
        <v>45793</v>
      </c>
      <c r="G110" s="27" t="s">
        <v>293</v>
      </c>
      <c r="J110"/>
      <c r="K110"/>
    </row>
    <row r="111" spans="1:11" ht="15.75" customHeight="1" x14ac:dyDescent="0.25">
      <c r="A111" s="17" t="s">
        <v>430</v>
      </c>
      <c r="B111" s="90">
        <v>50</v>
      </c>
      <c r="C111" s="18" t="s">
        <v>8</v>
      </c>
      <c r="D111" s="18" t="s">
        <v>31</v>
      </c>
      <c r="E111" s="17" t="s">
        <v>17</v>
      </c>
      <c r="F111" s="26">
        <v>45795</v>
      </c>
      <c r="G111" s="27" t="s">
        <v>293</v>
      </c>
      <c r="J111"/>
      <c r="K111"/>
    </row>
    <row r="112" spans="1:11" ht="15.75" customHeight="1" x14ac:dyDescent="0.25">
      <c r="A112" s="17" t="s">
        <v>477</v>
      </c>
      <c r="B112" s="90">
        <v>4.1900000000000004</v>
      </c>
      <c r="C112" s="18" t="s">
        <v>8</v>
      </c>
      <c r="D112" s="18" t="s">
        <v>16</v>
      </c>
      <c r="E112" s="17" t="s">
        <v>17</v>
      </c>
      <c r="F112" s="26">
        <v>45795</v>
      </c>
      <c r="G112" s="27" t="s">
        <v>293</v>
      </c>
      <c r="J112"/>
      <c r="K112"/>
    </row>
    <row r="113" spans="1:11" ht="15.75" customHeight="1" x14ac:dyDescent="0.25">
      <c r="A113" s="17" t="s">
        <v>13</v>
      </c>
      <c r="B113" s="90">
        <v>89.98</v>
      </c>
      <c r="C113" s="18" t="s">
        <v>8</v>
      </c>
      <c r="D113" s="18" t="s">
        <v>14</v>
      </c>
      <c r="E113" s="17" t="s">
        <v>17</v>
      </c>
      <c r="F113" s="26">
        <v>45795</v>
      </c>
      <c r="G113" s="27" t="s">
        <v>293</v>
      </c>
      <c r="J113"/>
      <c r="K113"/>
    </row>
    <row r="114" spans="1:11" ht="15.75" customHeight="1" x14ac:dyDescent="0.25">
      <c r="A114" s="17" t="s">
        <v>478</v>
      </c>
      <c r="B114" s="90">
        <v>3.8</v>
      </c>
      <c r="C114" s="18" t="s">
        <v>8</v>
      </c>
      <c r="D114" s="18" t="s">
        <v>11</v>
      </c>
      <c r="E114" s="17" t="s">
        <v>17</v>
      </c>
      <c r="F114" s="26">
        <v>45796</v>
      </c>
      <c r="G114" s="27" t="s">
        <v>293</v>
      </c>
      <c r="J114"/>
      <c r="K114"/>
    </row>
    <row r="115" spans="1:11" ht="15.75" customHeight="1" x14ac:dyDescent="0.25">
      <c r="A115" s="17" t="s">
        <v>479</v>
      </c>
      <c r="B115" s="90">
        <v>22.98</v>
      </c>
      <c r="C115" s="18" t="s">
        <v>8</v>
      </c>
      <c r="D115" s="18" t="s">
        <v>16</v>
      </c>
      <c r="E115" s="17" t="s">
        <v>12</v>
      </c>
      <c r="F115" s="26">
        <v>45793</v>
      </c>
      <c r="G115" s="27" t="s">
        <v>293</v>
      </c>
      <c r="J115"/>
      <c r="K115"/>
    </row>
    <row r="116" spans="1:11" ht="15.75" customHeight="1" x14ac:dyDescent="0.25">
      <c r="A116" s="17" t="s">
        <v>376</v>
      </c>
      <c r="B116" s="90">
        <v>102</v>
      </c>
      <c r="C116" s="18" t="s">
        <v>8</v>
      </c>
      <c r="D116" s="18" t="s">
        <v>36</v>
      </c>
      <c r="E116" s="17" t="s">
        <v>12</v>
      </c>
      <c r="F116" s="26">
        <v>45793</v>
      </c>
      <c r="G116" s="27" t="s">
        <v>293</v>
      </c>
      <c r="J116"/>
      <c r="K116"/>
    </row>
    <row r="117" spans="1:11" ht="15.75" customHeight="1" x14ac:dyDescent="0.25">
      <c r="A117" s="17" t="s">
        <v>480</v>
      </c>
      <c r="B117" s="90">
        <v>126</v>
      </c>
      <c r="C117" s="18" t="s">
        <v>8</v>
      </c>
      <c r="D117" s="18" t="s">
        <v>36</v>
      </c>
      <c r="E117" s="17" t="s">
        <v>12</v>
      </c>
      <c r="F117" s="26">
        <v>45793</v>
      </c>
      <c r="G117" s="27" t="s">
        <v>293</v>
      </c>
      <c r="J117"/>
      <c r="K117"/>
    </row>
    <row r="118" spans="1:11" ht="15.75" customHeight="1" x14ac:dyDescent="0.25">
      <c r="A118" s="17" t="s">
        <v>481</v>
      </c>
      <c r="B118" s="90">
        <v>54.95</v>
      </c>
      <c r="C118" s="18" t="s">
        <v>8</v>
      </c>
      <c r="D118" s="18" t="s">
        <v>36</v>
      </c>
      <c r="E118" s="17" t="s">
        <v>12</v>
      </c>
      <c r="F118" s="26">
        <v>45794</v>
      </c>
      <c r="G118" s="27" t="s">
        <v>293</v>
      </c>
      <c r="J118"/>
      <c r="K118"/>
    </row>
    <row r="119" spans="1:11" ht="15.75" customHeight="1" x14ac:dyDescent="0.25">
      <c r="A119" s="17" t="s">
        <v>43</v>
      </c>
      <c r="B119" s="90">
        <v>95.07</v>
      </c>
      <c r="C119" s="18" t="s">
        <v>8</v>
      </c>
      <c r="D119" s="18" t="s">
        <v>31</v>
      </c>
      <c r="E119" s="17" t="s">
        <v>12</v>
      </c>
      <c r="F119" s="26">
        <v>45794</v>
      </c>
      <c r="G119" s="27" t="s">
        <v>293</v>
      </c>
      <c r="J119"/>
      <c r="K119"/>
    </row>
    <row r="120" spans="1:11" ht="15.75" customHeight="1" x14ac:dyDescent="0.25">
      <c r="A120" s="17" t="s">
        <v>482</v>
      </c>
      <c r="B120" s="90">
        <v>19.899999999999999</v>
      </c>
      <c r="C120" s="18" t="s">
        <v>8</v>
      </c>
      <c r="D120" s="18" t="s">
        <v>20</v>
      </c>
      <c r="E120" s="17" t="s">
        <v>12</v>
      </c>
      <c r="F120" s="26">
        <v>45794</v>
      </c>
      <c r="G120" s="27" t="s">
        <v>293</v>
      </c>
      <c r="J120"/>
      <c r="K120"/>
    </row>
    <row r="121" spans="1:11" ht="15.75" customHeight="1" x14ac:dyDescent="0.25">
      <c r="A121" s="17" t="s">
        <v>43</v>
      </c>
      <c r="B121" s="91">
        <v>219.64</v>
      </c>
      <c r="C121" s="18" t="s">
        <v>8</v>
      </c>
      <c r="D121" s="18" t="s">
        <v>31</v>
      </c>
      <c r="E121" s="17" t="s">
        <v>12</v>
      </c>
      <c r="F121" s="26">
        <v>45796</v>
      </c>
      <c r="G121" s="27" t="s">
        <v>293</v>
      </c>
      <c r="J121"/>
      <c r="K121"/>
    </row>
    <row r="122" spans="1:11" ht="15.75" customHeight="1" x14ac:dyDescent="0.25">
      <c r="A122" s="17" t="s">
        <v>483</v>
      </c>
      <c r="B122" s="91">
        <v>245.4</v>
      </c>
      <c r="C122" s="18" t="s">
        <v>8</v>
      </c>
      <c r="D122" s="18" t="s">
        <v>14</v>
      </c>
      <c r="E122" s="17" t="s">
        <v>12</v>
      </c>
      <c r="F122" s="26">
        <v>45796</v>
      </c>
      <c r="G122" s="27" t="s">
        <v>303</v>
      </c>
      <c r="J122"/>
      <c r="K122"/>
    </row>
    <row r="123" spans="1:11" ht="15.75" customHeight="1" x14ac:dyDescent="0.25">
      <c r="A123" s="17" t="s">
        <v>430</v>
      </c>
      <c r="B123" s="91">
        <v>50</v>
      </c>
      <c r="C123" s="18" t="s">
        <v>8</v>
      </c>
      <c r="D123" s="18" t="s">
        <v>31</v>
      </c>
      <c r="E123" s="17" t="s">
        <v>17</v>
      </c>
      <c r="F123" s="26">
        <v>45796</v>
      </c>
      <c r="G123" s="27" t="s">
        <v>293</v>
      </c>
      <c r="J123"/>
      <c r="K123"/>
    </row>
    <row r="124" spans="1:11" s="95" customFormat="1" ht="15.75" customHeight="1" x14ac:dyDescent="0.25">
      <c r="A124" s="100" t="s">
        <v>380</v>
      </c>
      <c r="B124" s="96">
        <v>112.36</v>
      </c>
      <c r="C124" s="100" t="s">
        <v>8</v>
      </c>
      <c r="D124" s="100" t="s">
        <v>68</v>
      </c>
      <c r="E124" s="100" t="s">
        <v>12</v>
      </c>
      <c r="F124" s="26">
        <v>45796</v>
      </c>
      <c r="G124" s="101" t="s">
        <v>293</v>
      </c>
      <c r="J124" s="94"/>
      <c r="K124" s="94"/>
    </row>
    <row r="125" spans="1:11" ht="15.75" customHeight="1" x14ac:dyDescent="0.25">
      <c r="A125" s="17" t="s">
        <v>484</v>
      </c>
      <c r="B125" s="91">
        <v>29.7</v>
      </c>
      <c r="C125" s="18" t="s">
        <v>8</v>
      </c>
      <c r="D125" s="18" t="s">
        <v>11</v>
      </c>
      <c r="E125" s="17" t="s">
        <v>17</v>
      </c>
      <c r="F125" s="26">
        <v>45797</v>
      </c>
      <c r="G125" s="27" t="s">
        <v>293</v>
      </c>
      <c r="J125"/>
      <c r="K125"/>
    </row>
    <row r="126" spans="1:11" ht="15.75" customHeight="1" x14ac:dyDescent="0.25">
      <c r="A126" s="17" t="s">
        <v>411</v>
      </c>
      <c r="B126" s="91">
        <v>20</v>
      </c>
      <c r="C126" s="18" t="s">
        <v>8</v>
      </c>
      <c r="D126" s="18" t="s">
        <v>16</v>
      </c>
      <c r="E126" s="17" t="s">
        <v>17</v>
      </c>
      <c r="F126" s="26">
        <v>45797</v>
      </c>
      <c r="G126" s="27" t="s">
        <v>293</v>
      </c>
      <c r="J126"/>
      <c r="K126"/>
    </row>
    <row r="127" spans="1:11" ht="15.75" customHeight="1" x14ac:dyDescent="0.25">
      <c r="A127" s="17" t="s">
        <v>485</v>
      </c>
      <c r="B127" s="92">
        <v>148.18</v>
      </c>
      <c r="C127" s="18" t="s">
        <v>8</v>
      </c>
      <c r="D127" s="18" t="s">
        <v>14</v>
      </c>
      <c r="E127" s="17" t="s">
        <v>12</v>
      </c>
      <c r="F127" s="26">
        <v>45797</v>
      </c>
      <c r="G127" s="27" t="s">
        <v>293</v>
      </c>
      <c r="J127"/>
      <c r="K127"/>
    </row>
    <row r="128" spans="1:11" ht="15.75" customHeight="1" x14ac:dyDescent="0.25">
      <c r="A128" s="17" t="s">
        <v>486</v>
      </c>
      <c r="B128" s="92">
        <v>142.34</v>
      </c>
      <c r="C128" s="18" t="s">
        <v>8</v>
      </c>
      <c r="D128" s="18" t="s">
        <v>14</v>
      </c>
      <c r="E128" s="17" t="s">
        <v>17</v>
      </c>
      <c r="F128" s="26">
        <v>45797</v>
      </c>
      <c r="G128" s="27" t="s">
        <v>303</v>
      </c>
      <c r="J128"/>
      <c r="K128"/>
    </row>
    <row r="129" spans="1:11" ht="15.75" customHeight="1" x14ac:dyDescent="0.25">
      <c r="A129" s="17" t="s">
        <v>487</v>
      </c>
      <c r="B129" s="92">
        <v>26.8</v>
      </c>
      <c r="C129" s="18" t="s">
        <v>8</v>
      </c>
      <c r="D129" s="18" t="s">
        <v>36</v>
      </c>
      <c r="E129" s="17" t="s">
        <v>17</v>
      </c>
      <c r="F129" s="26">
        <v>45797</v>
      </c>
      <c r="G129" s="27" t="s">
        <v>293</v>
      </c>
      <c r="J129"/>
      <c r="K129"/>
    </row>
    <row r="130" spans="1:11" ht="15.75" customHeight="1" x14ac:dyDescent="0.25">
      <c r="A130" s="17" t="s">
        <v>15</v>
      </c>
      <c r="B130" s="92">
        <v>120.67</v>
      </c>
      <c r="C130" s="18" t="s">
        <v>8</v>
      </c>
      <c r="D130" s="18" t="s">
        <v>16</v>
      </c>
      <c r="E130" s="17" t="s">
        <v>17</v>
      </c>
      <c r="F130" s="26">
        <v>45798</v>
      </c>
      <c r="G130" s="27" t="s">
        <v>293</v>
      </c>
      <c r="J130"/>
      <c r="K130"/>
    </row>
    <row r="131" spans="1:11" ht="15.75" customHeight="1" x14ac:dyDescent="0.25">
      <c r="A131" s="17" t="s">
        <v>488</v>
      </c>
      <c r="B131" s="92">
        <v>61.59</v>
      </c>
      <c r="C131" s="18" t="s">
        <v>8</v>
      </c>
      <c r="D131" s="18" t="s">
        <v>14</v>
      </c>
      <c r="E131" s="17" t="s">
        <v>12</v>
      </c>
      <c r="F131" s="26">
        <v>45798</v>
      </c>
      <c r="G131" s="27" t="s">
        <v>293</v>
      </c>
      <c r="J131"/>
      <c r="K131"/>
    </row>
    <row r="132" spans="1:11" ht="15.75" customHeight="1" x14ac:dyDescent="0.25">
      <c r="A132" s="17" t="s">
        <v>489</v>
      </c>
      <c r="B132" s="93">
        <v>49.9</v>
      </c>
      <c r="C132" s="18" t="s">
        <v>8</v>
      </c>
      <c r="D132" s="18" t="s">
        <v>36</v>
      </c>
      <c r="E132" s="17" t="s">
        <v>12</v>
      </c>
      <c r="F132" s="26">
        <v>45799</v>
      </c>
      <c r="G132" s="27" t="s">
        <v>293</v>
      </c>
      <c r="J132"/>
      <c r="K132"/>
    </row>
    <row r="133" spans="1:11" ht="15.75" customHeight="1" x14ac:dyDescent="0.25">
      <c r="A133" s="17" t="s">
        <v>487</v>
      </c>
      <c r="B133" s="93">
        <v>46.8</v>
      </c>
      <c r="C133" s="18" t="s">
        <v>8</v>
      </c>
      <c r="D133" s="18" t="s">
        <v>36</v>
      </c>
      <c r="E133" s="17" t="s">
        <v>17</v>
      </c>
      <c r="F133" s="26">
        <v>45799</v>
      </c>
      <c r="G133" s="27" t="s">
        <v>293</v>
      </c>
      <c r="J133"/>
      <c r="K133"/>
    </row>
    <row r="134" spans="1:11" ht="15.75" customHeight="1" x14ac:dyDescent="0.25">
      <c r="A134" s="17" t="s">
        <v>490</v>
      </c>
      <c r="B134" s="93">
        <v>53.569000000000003</v>
      </c>
      <c r="C134" s="18" t="s">
        <v>8</v>
      </c>
      <c r="D134" s="18" t="s">
        <v>14</v>
      </c>
      <c r="E134" s="17" t="s">
        <v>12</v>
      </c>
      <c r="F134" s="26">
        <v>45799</v>
      </c>
      <c r="G134" s="27" t="s">
        <v>491</v>
      </c>
      <c r="J134"/>
      <c r="K134"/>
    </row>
    <row r="135" spans="1:11" ht="15.75" customHeight="1" x14ac:dyDescent="0.25">
      <c r="A135" s="17" t="s">
        <v>456</v>
      </c>
      <c r="B135" s="93">
        <v>40.984999999999999</v>
      </c>
      <c r="C135" s="18" t="s">
        <v>8</v>
      </c>
      <c r="D135" s="18" t="s">
        <v>22</v>
      </c>
      <c r="E135" s="17" t="s">
        <v>12</v>
      </c>
      <c r="F135" s="26">
        <v>45799</v>
      </c>
      <c r="G135" s="27" t="s">
        <v>397</v>
      </c>
      <c r="J135"/>
      <c r="K135"/>
    </row>
    <row r="136" spans="1:11" ht="15.75" customHeight="1" x14ac:dyDescent="0.25">
      <c r="A136" s="17" t="s">
        <v>133</v>
      </c>
      <c r="B136" s="102">
        <v>175.87</v>
      </c>
      <c r="C136" s="18" t="s">
        <v>8</v>
      </c>
      <c r="D136" s="18" t="s">
        <v>16</v>
      </c>
      <c r="E136" s="17" t="s">
        <v>17</v>
      </c>
      <c r="F136" s="26">
        <v>45800</v>
      </c>
      <c r="G136" s="27" t="s">
        <v>293</v>
      </c>
      <c r="J136"/>
      <c r="K136"/>
    </row>
    <row r="137" spans="1:11" ht="15.75" customHeight="1" x14ac:dyDescent="0.25">
      <c r="A137" s="17" t="s">
        <v>496</v>
      </c>
      <c r="B137" s="102">
        <v>1.9</v>
      </c>
      <c r="C137" s="18" t="s">
        <v>8</v>
      </c>
      <c r="D137" s="18" t="s">
        <v>11</v>
      </c>
      <c r="E137" s="17" t="s">
        <v>17</v>
      </c>
      <c r="F137" s="26">
        <v>45800</v>
      </c>
      <c r="G137" s="27" t="s">
        <v>293</v>
      </c>
      <c r="J137"/>
      <c r="K137"/>
    </row>
    <row r="138" spans="1:11" ht="15.75" customHeight="1" x14ac:dyDescent="0.25">
      <c r="A138" s="17" t="s">
        <v>494</v>
      </c>
      <c r="B138" s="102">
        <v>284</v>
      </c>
      <c r="C138" s="18" t="s">
        <v>8</v>
      </c>
      <c r="D138" s="18" t="s">
        <v>36</v>
      </c>
      <c r="E138" s="17" t="s">
        <v>12</v>
      </c>
      <c r="F138" s="26">
        <v>45801</v>
      </c>
      <c r="G138" s="27" t="s">
        <v>293</v>
      </c>
      <c r="J138"/>
      <c r="K138"/>
    </row>
    <row r="139" spans="1:11" ht="15.75" customHeight="1" x14ac:dyDescent="0.25">
      <c r="A139" s="17" t="s">
        <v>495</v>
      </c>
      <c r="B139" s="102">
        <v>68.393333333333331</v>
      </c>
      <c r="C139" s="18" t="s">
        <v>8</v>
      </c>
      <c r="D139" s="18" t="s">
        <v>14</v>
      </c>
      <c r="E139" s="17" t="s">
        <v>12</v>
      </c>
      <c r="F139" s="26">
        <v>45801</v>
      </c>
      <c r="G139" s="27" t="s">
        <v>303</v>
      </c>
      <c r="J139"/>
      <c r="K139"/>
    </row>
    <row r="140" spans="1:11" ht="15.75" customHeight="1" x14ac:dyDescent="0.25">
      <c r="A140" s="17" t="s">
        <v>411</v>
      </c>
      <c r="B140" s="102">
        <v>20</v>
      </c>
      <c r="C140" s="18" t="s">
        <v>8</v>
      </c>
      <c r="D140" s="18" t="s">
        <v>16</v>
      </c>
      <c r="E140" s="17" t="s">
        <v>17</v>
      </c>
      <c r="F140" s="26">
        <v>45801</v>
      </c>
      <c r="G140" s="27" t="s">
        <v>293</v>
      </c>
      <c r="J140"/>
      <c r="K140"/>
    </row>
    <row r="141" spans="1:11" ht="15.75" customHeight="1" x14ac:dyDescent="0.25">
      <c r="A141" s="17" t="s">
        <v>378</v>
      </c>
      <c r="B141" s="105">
        <v>16</v>
      </c>
      <c r="C141" s="18" t="s">
        <v>8</v>
      </c>
      <c r="D141" s="18" t="s">
        <v>31</v>
      </c>
      <c r="E141" s="17" t="s">
        <v>12</v>
      </c>
      <c r="F141" s="26">
        <v>45803</v>
      </c>
      <c r="G141" s="27" t="s">
        <v>293</v>
      </c>
      <c r="J141"/>
      <c r="K141"/>
    </row>
    <row r="142" spans="1:11" ht="15.75" customHeight="1" x14ac:dyDescent="0.25">
      <c r="A142" s="17" t="s">
        <v>497</v>
      </c>
      <c r="B142" s="105">
        <v>40</v>
      </c>
      <c r="C142" s="18" t="s">
        <v>8</v>
      </c>
      <c r="D142" s="18" t="s">
        <v>108</v>
      </c>
      <c r="E142" s="17" t="s">
        <v>12</v>
      </c>
      <c r="F142" s="26">
        <v>45803</v>
      </c>
      <c r="G142" s="27" t="s">
        <v>293</v>
      </c>
      <c r="J142"/>
      <c r="K142"/>
    </row>
    <row r="143" spans="1:11" ht="15.75" customHeight="1" x14ac:dyDescent="0.25">
      <c r="A143" s="17" t="s">
        <v>133</v>
      </c>
      <c r="B143" s="105">
        <v>7.38</v>
      </c>
      <c r="C143" s="18" t="s">
        <v>8</v>
      </c>
      <c r="D143" s="18" t="s">
        <v>16</v>
      </c>
      <c r="E143" s="17" t="s">
        <v>12</v>
      </c>
      <c r="F143" s="26">
        <v>45803</v>
      </c>
      <c r="G143" s="27" t="s">
        <v>293</v>
      </c>
      <c r="J143"/>
      <c r="K143"/>
    </row>
    <row r="144" spans="1:11" ht="15.75" customHeight="1" x14ac:dyDescent="0.25">
      <c r="A144" s="17" t="s">
        <v>43</v>
      </c>
      <c r="B144" s="105">
        <v>288.08999999999997</v>
      </c>
      <c r="C144" s="18" t="s">
        <v>8</v>
      </c>
      <c r="D144" s="18" t="s">
        <v>118</v>
      </c>
      <c r="E144" s="17" t="s">
        <v>12</v>
      </c>
      <c r="F144" s="26">
        <v>45804</v>
      </c>
      <c r="G144" s="27" t="s">
        <v>293</v>
      </c>
      <c r="J144"/>
      <c r="K144"/>
    </row>
    <row r="145" spans="1:11" ht="15.75" customHeight="1" x14ac:dyDescent="0.25">
      <c r="A145" s="17" t="s">
        <v>499</v>
      </c>
      <c r="B145" s="105">
        <v>5</v>
      </c>
      <c r="C145" s="18" t="s">
        <v>8</v>
      </c>
      <c r="D145" s="18" t="s">
        <v>16</v>
      </c>
      <c r="E145" s="17" t="s">
        <v>12</v>
      </c>
      <c r="F145" s="26">
        <v>45804</v>
      </c>
      <c r="G145" s="27" t="s">
        <v>293</v>
      </c>
      <c r="J145"/>
      <c r="K145"/>
    </row>
    <row r="146" spans="1:11" ht="15.75" customHeight="1" x14ac:dyDescent="0.25">
      <c r="A146" s="17" t="s">
        <v>454</v>
      </c>
      <c r="B146" s="105">
        <v>115.24</v>
      </c>
      <c r="C146" s="18" t="s">
        <v>8</v>
      </c>
      <c r="D146" s="18" t="s">
        <v>22</v>
      </c>
      <c r="E146" s="17" t="s">
        <v>12</v>
      </c>
      <c r="F146" s="26">
        <v>45805</v>
      </c>
      <c r="G146" s="27" t="s">
        <v>293</v>
      </c>
      <c r="J146"/>
      <c r="K146"/>
    </row>
    <row r="147" spans="1:11" ht="15.75" customHeight="1" x14ac:dyDescent="0.25">
      <c r="A147" s="17" t="s">
        <v>498</v>
      </c>
      <c r="B147" s="105">
        <v>29.99</v>
      </c>
      <c r="C147" s="18" t="s">
        <v>8</v>
      </c>
      <c r="D147" s="18" t="s">
        <v>22</v>
      </c>
      <c r="E147" s="17" t="s">
        <v>12</v>
      </c>
      <c r="F147" s="26">
        <v>45805</v>
      </c>
      <c r="G147" s="27" t="s">
        <v>293</v>
      </c>
      <c r="J147"/>
      <c r="K147"/>
    </row>
    <row r="148" spans="1:11" ht="15.75" customHeight="1" x14ac:dyDescent="0.25">
      <c r="A148" s="17" t="s">
        <v>500</v>
      </c>
      <c r="B148" s="105">
        <v>73.97</v>
      </c>
      <c r="C148" s="18" t="s">
        <v>8</v>
      </c>
      <c r="D148" s="18" t="s">
        <v>11</v>
      </c>
      <c r="E148" s="17" t="s">
        <v>17</v>
      </c>
      <c r="F148" s="26">
        <v>45803</v>
      </c>
      <c r="G148" s="27" t="s">
        <v>293</v>
      </c>
      <c r="J148"/>
      <c r="K148"/>
    </row>
    <row r="149" spans="1:11" ht="15.75" customHeight="1" x14ac:dyDescent="0.25">
      <c r="A149" s="17" t="s">
        <v>487</v>
      </c>
      <c r="B149" s="105">
        <v>54.7</v>
      </c>
      <c r="C149" s="18" t="s">
        <v>8</v>
      </c>
      <c r="D149" s="18" t="s">
        <v>36</v>
      </c>
      <c r="E149" s="17" t="s">
        <v>17</v>
      </c>
      <c r="F149" s="26">
        <v>45804</v>
      </c>
      <c r="G149" s="27" t="s">
        <v>293</v>
      </c>
      <c r="J149"/>
      <c r="K149"/>
    </row>
    <row r="150" spans="1:11" ht="15.75" customHeight="1" x14ac:dyDescent="0.25">
      <c r="A150" s="17" t="s">
        <v>430</v>
      </c>
      <c r="B150" s="105">
        <v>100</v>
      </c>
      <c r="C150" s="18" t="s">
        <v>8</v>
      </c>
      <c r="D150" s="18" t="s">
        <v>118</v>
      </c>
      <c r="E150" s="17" t="s">
        <v>17</v>
      </c>
      <c r="F150" s="26">
        <v>45804</v>
      </c>
      <c r="G150" s="27" t="s">
        <v>293</v>
      </c>
      <c r="J150"/>
      <c r="K150"/>
    </row>
    <row r="151" spans="1:11" ht="15.75" customHeight="1" x14ac:dyDescent="0.25">
      <c r="A151" s="17" t="s">
        <v>501</v>
      </c>
      <c r="B151" s="105">
        <v>17</v>
      </c>
      <c r="C151" s="18" t="s">
        <v>8</v>
      </c>
      <c r="D151" s="18" t="s">
        <v>20</v>
      </c>
      <c r="E151" s="17" t="s">
        <v>17</v>
      </c>
      <c r="F151" s="26">
        <v>45805</v>
      </c>
      <c r="G151" s="27" t="s">
        <v>293</v>
      </c>
      <c r="J151"/>
      <c r="K151"/>
    </row>
    <row r="152" spans="1:11" ht="15.75" customHeight="1" x14ac:dyDescent="0.25">
      <c r="A152" s="17" t="s">
        <v>502</v>
      </c>
      <c r="B152" s="106">
        <v>97.79</v>
      </c>
      <c r="C152" s="18" t="s">
        <v>8</v>
      </c>
      <c r="D152" s="18" t="s">
        <v>36</v>
      </c>
      <c r="E152" s="17" t="s">
        <v>17</v>
      </c>
      <c r="F152" s="26">
        <v>45805</v>
      </c>
      <c r="G152" s="27" t="s">
        <v>293</v>
      </c>
      <c r="J152"/>
      <c r="K152"/>
    </row>
    <row r="153" spans="1:11" ht="15.75" customHeight="1" x14ac:dyDescent="0.25">
      <c r="A153" s="17" t="s">
        <v>503</v>
      </c>
      <c r="B153" s="106">
        <v>199.9</v>
      </c>
      <c r="C153" s="18" t="s">
        <v>8</v>
      </c>
      <c r="D153" s="18" t="s">
        <v>11</v>
      </c>
      <c r="E153" s="17" t="s">
        <v>17</v>
      </c>
      <c r="F153" s="26">
        <v>45806</v>
      </c>
      <c r="G153" s="27" t="s">
        <v>293</v>
      </c>
      <c r="J153"/>
      <c r="K153"/>
    </row>
    <row r="154" spans="1:11" ht="15.75" customHeight="1" x14ac:dyDescent="0.25">
      <c r="A154" s="17" t="s">
        <v>504</v>
      </c>
      <c r="B154" s="106">
        <v>33.4</v>
      </c>
      <c r="C154" s="18" t="s">
        <v>8</v>
      </c>
      <c r="D154" s="18" t="s">
        <v>36</v>
      </c>
      <c r="E154" s="17" t="s">
        <v>17</v>
      </c>
      <c r="F154" s="26">
        <v>45806</v>
      </c>
      <c r="G154" s="27" t="s">
        <v>293</v>
      </c>
      <c r="J154"/>
      <c r="K154"/>
    </row>
    <row r="155" spans="1:11" ht="15.75" customHeight="1" x14ac:dyDescent="0.25">
      <c r="A155" s="17" t="s">
        <v>505</v>
      </c>
      <c r="B155" s="106">
        <v>81.599999999999994</v>
      </c>
      <c r="C155" s="18" t="s">
        <v>8</v>
      </c>
      <c r="D155" s="18" t="s">
        <v>11</v>
      </c>
      <c r="E155" s="17" t="s">
        <v>12</v>
      </c>
      <c r="F155" s="26">
        <v>45805</v>
      </c>
      <c r="G155" s="27" t="s">
        <v>306</v>
      </c>
      <c r="J155"/>
      <c r="K155"/>
    </row>
    <row r="156" spans="1:11" ht="15.75" customHeight="1" x14ac:dyDescent="0.25">
      <c r="A156" s="17" t="s">
        <v>506</v>
      </c>
      <c r="B156" s="106">
        <v>39.012500000000003</v>
      </c>
      <c r="C156" s="18" t="s">
        <v>8</v>
      </c>
      <c r="D156" s="18" t="s">
        <v>22</v>
      </c>
      <c r="E156" s="17" t="s">
        <v>12</v>
      </c>
      <c r="F156" s="26">
        <v>45805</v>
      </c>
      <c r="G156" s="27" t="s">
        <v>299</v>
      </c>
      <c r="J156"/>
      <c r="K156"/>
    </row>
    <row r="157" spans="1:11" ht="15.75" customHeight="1" x14ac:dyDescent="0.25">
      <c r="A157" s="17" t="s">
        <v>507</v>
      </c>
      <c r="B157" s="106">
        <v>51.23</v>
      </c>
      <c r="C157" s="18" t="s">
        <v>8</v>
      </c>
      <c r="D157" s="18" t="s">
        <v>16</v>
      </c>
      <c r="E157" s="17" t="s">
        <v>12</v>
      </c>
      <c r="F157" s="26">
        <v>45806</v>
      </c>
      <c r="G157" s="27" t="s">
        <v>293</v>
      </c>
      <c r="J157"/>
      <c r="K157"/>
    </row>
    <row r="158" spans="1:11" ht="15.75" customHeight="1" x14ac:dyDescent="0.25">
      <c r="A158" s="17" t="s">
        <v>510</v>
      </c>
      <c r="B158" s="109">
        <v>18.899999999999999</v>
      </c>
      <c r="C158" s="18" t="s">
        <v>8</v>
      </c>
      <c r="D158" s="18" t="s">
        <v>11</v>
      </c>
      <c r="E158" s="17" t="s">
        <v>12</v>
      </c>
      <c r="F158" s="26">
        <v>45808</v>
      </c>
      <c r="G158" s="27" t="s">
        <v>293</v>
      </c>
      <c r="J158"/>
      <c r="K158"/>
    </row>
    <row r="159" spans="1:11" ht="15.75" customHeight="1" x14ac:dyDescent="0.25">
      <c r="A159" s="17" t="s">
        <v>511</v>
      </c>
      <c r="B159" s="109">
        <v>42.13</v>
      </c>
      <c r="C159" s="18" t="s">
        <v>8</v>
      </c>
      <c r="D159" s="18" t="s">
        <v>31</v>
      </c>
      <c r="E159" s="17" t="s">
        <v>12</v>
      </c>
      <c r="F159" s="26">
        <v>45808</v>
      </c>
      <c r="G159" s="27" t="s">
        <v>293</v>
      </c>
      <c r="J159"/>
      <c r="K159"/>
    </row>
    <row r="160" spans="1:11" ht="15.75" customHeight="1" x14ac:dyDescent="0.25">
      <c r="A160" s="17" t="s">
        <v>511</v>
      </c>
      <c r="B160" s="109">
        <v>54.15</v>
      </c>
      <c r="C160" s="18" t="s">
        <v>8</v>
      </c>
      <c r="D160" s="18" t="s">
        <v>31</v>
      </c>
      <c r="E160" s="17" t="s">
        <v>12</v>
      </c>
      <c r="F160" s="26">
        <v>45808</v>
      </c>
      <c r="G160" s="27" t="s">
        <v>293</v>
      </c>
      <c r="J160"/>
      <c r="K160"/>
    </row>
    <row r="161" spans="1:11" ht="15.75" customHeight="1" x14ac:dyDescent="0.25">
      <c r="A161" s="17" t="s">
        <v>511</v>
      </c>
      <c r="B161" s="109">
        <v>2.2599999999999998</v>
      </c>
      <c r="C161" s="18" t="s">
        <v>8</v>
      </c>
      <c r="D161" s="18" t="s">
        <v>31</v>
      </c>
      <c r="E161" s="17" t="s">
        <v>12</v>
      </c>
      <c r="F161" s="26">
        <v>45808</v>
      </c>
      <c r="G161" s="27" t="s">
        <v>293</v>
      </c>
      <c r="J161"/>
      <c r="K161"/>
    </row>
    <row r="162" spans="1:11" ht="15.75" customHeight="1" x14ac:dyDescent="0.25">
      <c r="A162" s="17" t="s">
        <v>512</v>
      </c>
      <c r="B162" s="109">
        <v>108.56</v>
      </c>
      <c r="C162" s="18" t="s">
        <v>8</v>
      </c>
      <c r="D162" s="18" t="s">
        <v>36</v>
      </c>
      <c r="E162" s="17" t="s">
        <v>12</v>
      </c>
      <c r="F162" s="26">
        <v>45808</v>
      </c>
      <c r="G162" s="27" t="s">
        <v>293</v>
      </c>
      <c r="J162"/>
      <c r="K162"/>
    </row>
    <row r="163" spans="1:11" ht="15.75" customHeight="1" x14ac:dyDescent="0.25">
      <c r="A163" s="17" t="s">
        <v>516</v>
      </c>
      <c r="B163" s="109">
        <v>129.11000000000001</v>
      </c>
      <c r="C163" s="18" t="s">
        <v>8</v>
      </c>
      <c r="D163" s="18" t="s">
        <v>517</v>
      </c>
      <c r="E163" s="17" t="s">
        <v>17</v>
      </c>
      <c r="F163" s="26">
        <v>45798</v>
      </c>
      <c r="G163" s="27" t="s">
        <v>397</v>
      </c>
      <c r="J163"/>
      <c r="K163"/>
    </row>
    <row r="164" spans="1:11" ht="15.75" customHeight="1" x14ac:dyDescent="0.25">
      <c r="A164" s="17" t="s">
        <v>516</v>
      </c>
      <c r="B164" s="109">
        <v>34.11</v>
      </c>
      <c r="C164" s="18" t="s">
        <v>8</v>
      </c>
      <c r="D164" s="18" t="s">
        <v>517</v>
      </c>
      <c r="E164" s="17" t="s">
        <v>17</v>
      </c>
      <c r="F164" s="26">
        <v>45798</v>
      </c>
      <c r="G164" s="27" t="s">
        <v>293</v>
      </c>
      <c r="J164"/>
      <c r="K164"/>
    </row>
    <row r="165" spans="1:11" ht="15.75" customHeight="1" x14ac:dyDescent="0.25">
      <c r="A165" s="17" t="s">
        <v>518</v>
      </c>
      <c r="B165" s="109">
        <v>133.64000000000001</v>
      </c>
      <c r="C165" s="18" t="s">
        <v>8</v>
      </c>
      <c r="D165" s="18" t="s">
        <v>517</v>
      </c>
      <c r="E165" s="17" t="s">
        <v>17</v>
      </c>
      <c r="F165" s="26">
        <v>45798</v>
      </c>
      <c r="G165" s="27" t="s">
        <v>519</v>
      </c>
      <c r="J165"/>
      <c r="K165"/>
    </row>
    <row r="166" spans="1:11" ht="15.75" customHeight="1" x14ac:dyDescent="0.25">
      <c r="A166" s="17" t="s">
        <v>518</v>
      </c>
      <c r="B166" s="109">
        <v>74.59</v>
      </c>
      <c r="C166" s="18" t="s">
        <v>8</v>
      </c>
      <c r="D166" s="18" t="s">
        <v>517</v>
      </c>
      <c r="E166" s="17" t="s">
        <v>17</v>
      </c>
      <c r="F166" s="26">
        <v>45798</v>
      </c>
      <c r="G166" s="27" t="s">
        <v>293</v>
      </c>
      <c r="J166"/>
      <c r="K166"/>
    </row>
    <row r="167" spans="1:11" ht="15.75" customHeight="1" x14ac:dyDescent="0.25">
      <c r="A167" s="17" t="s">
        <v>533</v>
      </c>
      <c r="B167" s="109">
        <v>1000</v>
      </c>
      <c r="C167" s="18" t="s">
        <v>8</v>
      </c>
      <c r="D167" s="18" t="s">
        <v>22</v>
      </c>
      <c r="E167" s="17" t="s">
        <v>17</v>
      </c>
      <c r="F167" s="26">
        <v>45808</v>
      </c>
      <c r="G167" s="27" t="s">
        <v>293</v>
      </c>
      <c r="J167"/>
      <c r="K167"/>
    </row>
    <row r="168" spans="1:11" ht="15.75" customHeight="1" x14ac:dyDescent="0.25">
      <c r="C168" s="18"/>
      <c r="D168" s="18"/>
      <c r="J168"/>
      <c r="K168"/>
    </row>
    <row r="169" spans="1:11" ht="15.75" customHeight="1" x14ac:dyDescent="0.25">
      <c r="C169" s="18"/>
      <c r="D169" s="18"/>
      <c r="J169"/>
      <c r="K169"/>
    </row>
    <row r="170" spans="1:11" ht="15.75" customHeight="1" x14ac:dyDescent="0.25">
      <c r="C170" s="18"/>
      <c r="D170" s="18"/>
      <c r="J170"/>
      <c r="K170"/>
    </row>
    <row r="171" spans="1:11" ht="15.75" customHeight="1" x14ac:dyDescent="0.25">
      <c r="C171" s="18"/>
      <c r="D171" s="18"/>
      <c r="J171"/>
      <c r="K171"/>
    </row>
    <row r="172" spans="1:11" ht="15.75" customHeight="1" x14ac:dyDescent="0.25">
      <c r="C172" s="18"/>
      <c r="D172" s="18"/>
      <c r="J172"/>
      <c r="K172"/>
    </row>
    <row r="173" spans="1:11" ht="15.75" customHeight="1" x14ac:dyDescent="0.25">
      <c r="C173" s="18"/>
      <c r="D173" s="18"/>
      <c r="J173"/>
      <c r="K173"/>
    </row>
    <row r="174" spans="1:11" ht="15.75" customHeight="1" x14ac:dyDescent="0.25">
      <c r="C174" s="18"/>
      <c r="D174" s="18"/>
    </row>
    <row r="175" spans="1:11" ht="15.75" customHeight="1" x14ac:dyDescent="0.25">
      <c r="C175" s="18"/>
      <c r="D175" s="18"/>
    </row>
    <row r="176" spans="1:11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>
      <c r="C973" s="18"/>
      <c r="D973" s="18"/>
    </row>
    <row r="974" spans="3:4" ht="15.75" customHeight="1" x14ac:dyDescent="0.25">
      <c r="C974" s="18"/>
      <c r="D974" s="18"/>
    </row>
    <row r="975" spans="3:4" ht="15.75" customHeight="1" x14ac:dyDescent="0.25">
      <c r="C975" s="18"/>
      <c r="D975" s="18"/>
    </row>
    <row r="976" spans="3:4" ht="15.75" customHeight="1" x14ac:dyDescent="0.25">
      <c r="C976" s="18"/>
      <c r="D976" s="18"/>
    </row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4084F-CD2F-43A4-886E-1309ACEE147D}">
  <sheetPr codeName="Sheet8"/>
  <dimension ref="A1:L996"/>
  <sheetViews>
    <sheetView topLeftCell="A142" zoomScaleNormal="100" workbookViewId="0">
      <selection activeCell="A5" sqref="A5:G174"/>
    </sheetView>
  </sheetViews>
  <sheetFormatPr defaultColWidth="14.42578125" defaultRowHeight="15" customHeight="1" x14ac:dyDescent="0.25"/>
  <cols>
    <col min="1" max="1" width="28.85546875" style="17" bestFit="1" customWidth="1"/>
    <col min="2" max="2" width="9.7109375" style="89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184" t="s">
        <v>0</v>
      </c>
      <c r="B1" s="188">
        <f>SUMIF('06_2025'!$C$5:$C$174,"Expense",'06_2025'!$B$5:$B$174)-SUMIF('06_2025'!$C$5:$C$174,"Income",'06_2025'!$B$5:$B$174)</f>
        <v>-5021.4148571428523</v>
      </c>
    </row>
    <row r="2" spans="1:12" ht="15" customHeight="1" x14ac:dyDescent="0.25">
      <c r="A2" s="186"/>
      <c r="B2" s="189"/>
    </row>
    <row r="3" spans="1:12" x14ac:dyDescent="0.25">
      <c r="F3" s="18">
        <v>12</v>
      </c>
    </row>
    <row r="4" spans="1:12" x14ac:dyDescent="0.25">
      <c r="A4" s="18" t="s">
        <v>1</v>
      </c>
      <c r="B4" s="2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  <c r="J4" s="11" t="s">
        <v>129</v>
      </c>
      <c r="K4" s="12" t="s">
        <v>131</v>
      </c>
      <c r="L4"/>
    </row>
    <row r="5" spans="1:12" x14ac:dyDescent="0.25">
      <c r="A5" s="18" t="s">
        <v>60</v>
      </c>
      <c r="B5" s="3">
        <v>119</v>
      </c>
      <c r="C5" s="18" t="s">
        <v>8</v>
      </c>
      <c r="D5" s="18" t="s">
        <v>61</v>
      </c>
      <c r="E5" s="8" t="s">
        <v>12</v>
      </c>
      <c r="F5" s="5">
        <v>45811</v>
      </c>
      <c r="G5" s="27" t="s">
        <v>293</v>
      </c>
      <c r="J5" s="13" t="s">
        <v>70</v>
      </c>
      <c r="K5" s="76">
        <v>5000</v>
      </c>
      <c r="L5"/>
    </row>
    <row r="6" spans="1:12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>
        <v>45811</v>
      </c>
      <c r="G6" s="27"/>
      <c r="J6" s="13" t="s">
        <v>20</v>
      </c>
      <c r="K6" s="76">
        <v>160.60000000000002</v>
      </c>
      <c r="L6"/>
    </row>
    <row r="7" spans="1:12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>
        <v>45813</v>
      </c>
      <c r="G7" s="27"/>
      <c r="J7" s="13" t="s">
        <v>22</v>
      </c>
      <c r="K7" s="76">
        <v>3070.0519999999997</v>
      </c>
      <c r="L7"/>
    </row>
    <row r="8" spans="1:12" x14ac:dyDescent="0.25">
      <c r="A8" s="18" t="s">
        <v>69</v>
      </c>
      <c r="B8" s="3">
        <v>5000</v>
      </c>
      <c r="C8" s="18" t="s">
        <v>8</v>
      </c>
      <c r="D8" s="18" t="s">
        <v>70</v>
      </c>
      <c r="E8" s="8" t="s">
        <v>12</v>
      </c>
      <c r="F8" s="5">
        <v>45823</v>
      </c>
      <c r="G8" s="27"/>
      <c r="J8" s="13" t="s">
        <v>26</v>
      </c>
      <c r="K8" s="76">
        <v>100</v>
      </c>
      <c r="L8"/>
    </row>
    <row r="9" spans="1:12" x14ac:dyDescent="0.25">
      <c r="A9" s="18" t="s">
        <v>74</v>
      </c>
      <c r="B9" s="3">
        <v>5710.37</v>
      </c>
      <c r="C9" s="18" t="s">
        <v>72</v>
      </c>
      <c r="D9" s="18" t="s">
        <v>73</v>
      </c>
      <c r="E9" s="8" t="s">
        <v>12</v>
      </c>
      <c r="F9" s="5">
        <v>45823</v>
      </c>
      <c r="G9" s="27"/>
      <c r="J9" s="13" t="s">
        <v>108</v>
      </c>
      <c r="K9" s="76">
        <v>346.14</v>
      </c>
      <c r="L9"/>
    </row>
    <row r="10" spans="1:12" x14ac:dyDescent="0.25">
      <c r="A10" s="18" t="s">
        <v>75</v>
      </c>
      <c r="B10" s="3">
        <v>60</v>
      </c>
      <c r="C10" s="18" t="s">
        <v>8</v>
      </c>
      <c r="D10" s="18" t="s">
        <v>63</v>
      </c>
      <c r="E10" s="8" t="s">
        <v>12</v>
      </c>
      <c r="F10" s="5">
        <v>45826</v>
      </c>
      <c r="G10" s="27"/>
      <c r="J10" s="13" t="s">
        <v>114</v>
      </c>
      <c r="K10" s="76">
        <v>592.2166666666667</v>
      </c>
      <c r="L10"/>
    </row>
    <row r="11" spans="1:12" x14ac:dyDescent="0.25">
      <c r="A11" s="18" t="s">
        <v>76</v>
      </c>
      <c r="B11" s="3">
        <v>100</v>
      </c>
      <c r="C11" s="18" t="s">
        <v>8</v>
      </c>
      <c r="D11" s="18" t="s">
        <v>63</v>
      </c>
      <c r="E11" s="8" t="s">
        <v>12</v>
      </c>
      <c r="F11" s="5">
        <v>45833</v>
      </c>
      <c r="G11" s="27"/>
      <c r="J11" s="13" t="s">
        <v>63</v>
      </c>
      <c r="K11" s="76">
        <v>793.3</v>
      </c>
      <c r="L11"/>
    </row>
    <row r="12" spans="1:12" x14ac:dyDescent="0.25">
      <c r="A12" s="18" t="s">
        <v>77</v>
      </c>
      <c r="B12" s="3">
        <v>66.900000000000006</v>
      </c>
      <c r="C12" s="18" t="s">
        <v>8</v>
      </c>
      <c r="D12" s="18" t="s">
        <v>20</v>
      </c>
      <c r="E12" s="8" t="s">
        <v>12</v>
      </c>
      <c r="F12" s="5">
        <v>45833</v>
      </c>
      <c r="G12" s="27"/>
      <c r="J12" s="13" t="s">
        <v>61</v>
      </c>
      <c r="K12" s="76">
        <v>618.55624999999998</v>
      </c>
      <c r="L12"/>
    </row>
    <row r="13" spans="1:12" x14ac:dyDescent="0.25">
      <c r="A13" s="18" t="s">
        <v>78</v>
      </c>
      <c r="B13" s="3">
        <v>16.899999999999999</v>
      </c>
      <c r="C13" s="18" t="s">
        <v>8</v>
      </c>
      <c r="D13" s="18" t="s">
        <v>20</v>
      </c>
      <c r="E13" s="8" t="s">
        <v>12</v>
      </c>
      <c r="F13" s="5">
        <v>45836</v>
      </c>
      <c r="G13" s="27"/>
      <c r="J13" s="13" t="s">
        <v>16</v>
      </c>
      <c r="K13" s="76">
        <v>590.245</v>
      </c>
      <c r="L13"/>
    </row>
    <row r="14" spans="1:12" x14ac:dyDescent="0.25">
      <c r="A14" s="18" t="s">
        <v>80</v>
      </c>
      <c r="B14" s="3">
        <v>857</v>
      </c>
      <c r="C14" s="18" t="s">
        <v>8</v>
      </c>
      <c r="D14" s="18" t="s">
        <v>68</v>
      </c>
      <c r="E14" s="8" t="s">
        <v>12</v>
      </c>
      <c r="F14" s="5">
        <v>45820</v>
      </c>
      <c r="G14" s="27"/>
      <c r="J14" s="13" t="s">
        <v>14</v>
      </c>
      <c r="K14" s="76">
        <v>1336.356</v>
      </c>
      <c r="L14"/>
    </row>
    <row r="15" spans="1:12" x14ac:dyDescent="0.25">
      <c r="A15" s="18" t="s">
        <v>81</v>
      </c>
      <c r="B15" s="3">
        <v>123.71</v>
      </c>
      <c r="C15" s="18" t="s">
        <v>8</v>
      </c>
      <c r="D15" s="18" t="s">
        <v>68</v>
      </c>
      <c r="E15" s="8" t="s">
        <v>12</v>
      </c>
      <c r="F15" s="5">
        <v>45838</v>
      </c>
      <c r="G15" s="27"/>
      <c r="J15" s="13" t="s">
        <v>73</v>
      </c>
      <c r="K15" s="76">
        <v>26181.48</v>
      </c>
      <c r="L15"/>
    </row>
    <row r="16" spans="1:12" x14ac:dyDescent="0.25">
      <c r="A16" s="126" t="s">
        <v>411</v>
      </c>
      <c r="B16" s="3">
        <v>113.75</v>
      </c>
      <c r="C16" s="126" t="s">
        <v>8</v>
      </c>
      <c r="D16" s="18" t="s">
        <v>68</v>
      </c>
      <c r="E16" s="8" t="s">
        <v>12</v>
      </c>
      <c r="F16" s="5">
        <v>45838</v>
      </c>
      <c r="G16" s="27"/>
      <c r="J16" s="13" t="s">
        <v>117</v>
      </c>
      <c r="K16" s="76">
        <v>107.97</v>
      </c>
      <c r="L16"/>
    </row>
    <row r="17" spans="1:12" x14ac:dyDescent="0.25">
      <c r="A17" s="18" t="s">
        <v>82</v>
      </c>
      <c r="B17" s="3">
        <v>119.12</v>
      </c>
      <c r="C17" s="18" t="s">
        <v>8</v>
      </c>
      <c r="D17" s="18" t="s">
        <v>68</v>
      </c>
      <c r="E17" s="8" t="s">
        <v>12</v>
      </c>
      <c r="F17" s="5">
        <v>45838</v>
      </c>
      <c r="G17" s="27"/>
      <c r="J17" s="13" t="s">
        <v>68</v>
      </c>
      <c r="K17" s="76">
        <v>1319.1299999999999</v>
      </c>
      <c r="L17"/>
    </row>
    <row r="18" spans="1:12" x14ac:dyDescent="0.25">
      <c r="A18" s="18" t="s">
        <v>83</v>
      </c>
      <c r="B18" s="3">
        <v>4400</v>
      </c>
      <c r="C18" s="18" t="s">
        <v>72</v>
      </c>
      <c r="D18" s="18" t="s">
        <v>73</v>
      </c>
      <c r="E18" s="8" t="s">
        <v>12</v>
      </c>
      <c r="F18" s="5">
        <v>45838</v>
      </c>
      <c r="G18" s="27"/>
      <c r="J18" s="13" t="s">
        <v>36</v>
      </c>
      <c r="K18" s="76">
        <v>1800.63</v>
      </c>
      <c r="L18"/>
    </row>
    <row r="19" spans="1:12" x14ac:dyDescent="0.25">
      <c r="A19" s="126" t="s">
        <v>601</v>
      </c>
      <c r="B19" s="3">
        <v>16071.11</v>
      </c>
      <c r="C19" s="18" t="s">
        <v>72</v>
      </c>
      <c r="D19" s="18" t="s">
        <v>73</v>
      </c>
      <c r="E19" s="8" t="s">
        <v>17</v>
      </c>
      <c r="F19" s="5">
        <v>45838</v>
      </c>
      <c r="G19" s="27"/>
      <c r="J19" s="13" t="s">
        <v>11</v>
      </c>
      <c r="K19" s="76">
        <v>1748.1708928571429</v>
      </c>
      <c r="L19"/>
    </row>
    <row r="20" spans="1:12" ht="15.75" customHeight="1" x14ac:dyDescent="0.25">
      <c r="A20" s="29" t="s">
        <v>315</v>
      </c>
      <c r="B20" s="3">
        <f>877.5/12</f>
        <v>73.125</v>
      </c>
      <c r="C20" s="2" t="s">
        <v>8</v>
      </c>
      <c r="D20" s="2" t="s">
        <v>16</v>
      </c>
      <c r="E20" s="8" t="s">
        <v>12</v>
      </c>
      <c r="F20" s="5">
        <v>45629</v>
      </c>
      <c r="G20" s="31" t="s">
        <v>311</v>
      </c>
      <c r="J20" s="13" t="s">
        <v>31</v>
      </c>
      <c r="K20" s="76">
        <v>471.75</v>
      </c>
      <c r="L20"/>
    </row>
    <row r="21" spans="1:12" ht="15.75" customHeight="1" x14ac:dyDescent="0.25">
      <c r="A21" s="30" t="s">
        <v>358</v>
      </c>
      <c r="B21" s="28">
        <v>346.14</v>
      </c>
      <c r="C21" s="2" t="s">
        <v>8</v>
      </c>
      <c r="D21" s="18" t="s">
        <v>108</v>
      </c>
      <c r="E21" s="18" t="s">
        <v>12</v>
      </c>
      <c r="F21" s="5">
        <v>45657</v>
      </c>
      <c r="G21" s="31" t="s">
        <v>356</v>
      </c>
      <c r="J21" s="13" t="s">
        <v>118</v>
      </c>
      <c r="K21" s="76">
        <v>1058.1199999999999</v>
      </c>
      <c r="L21"/>
    </row>
    <row r="22" spans="1:12" ht="15.75" customHeight="1" x14ac:dyDescent="0.25">
      <c r="A22" s="29" t="s">
        <v>317</v>
      </c>
      <c r="B22" s="3">
        <v>33.36</v>
      </c>
      <c r="C22" s="2" t="s">
        <v>8</v>
      </c>
      <c r="D22" s="2" t="s">
        <v>11</v>
      </c>
      <c r="E22" s="18" t="s">
        <v>12</v>
      </c>
      <c r="F22" s="5">
        <v>45639</v>
      </c>
      <c r="G22" s="31" t="s">
        <v>357</v>
      </c>
      <c r="J22" s="13" t="s">
        <v>517</v>
      </c>
      <c r="K22" s="76">
        <v>2046.8283333333336</v>
      </c>
    </row>
    <row r="23" spans="1:12" ht="15.75" customHeight="1" x14ac:dyDescent="0.25">
      <c r="A23" s="30" t="s">
        <v>359</v>
      </c>
      <c r="B23" s="28">
        <v>27.01</v>
      </c>
      <c r="C23" s="2" t="s">
        <v>8</v>
      </c>
      <c r="D23" s="18" t="s">
        <v>22</v>
      </c>
      <c r="E23" s="18" t="s">
        <v>12</v>
      </c>
      <c r="F23" s="5">
        <v>45657</v>
      </c>
      <c r="G23" s="31" t="s">
        <v>353</v>
      </c>
      <c r="J23" s="15" t="s">
        <v>130</v>
      </c>
      <c r="K23" s="77">
        <v>47341.54514285714</v>
      </c>
    </row>
    <row r="24" spans="1:12" ht="15.75" customHeight="1" x14ac:dyDescent="0.25">
      <c r="A24" s="30" t="s">
        <v>360</v>
      </c>
      <c r="B24" s="3">
        <v>68.8</v>
      </c>
      <c r="C24" s="18" t="s">
        <v>8</v>
      </c>
      <c r="D24" s="18" t="s">
        <v>22</v>
      </c>
      <c r="E24" s="8" t="s">
        <v>12</v>
      </c>
      <c r="F24" s="5">
        <v>45668</v>
      </c>
      <c r="G24" s="31" t="s">
        <v>322</v>
      </c>
      <c r="J24"/>
      <c r="K24"/>
    </row>
    <row r="25" spans="1:12" ht="15.75" customHeight="1" x14ac:dyDescent="0.25">
      <c r="A25" s="29" t="s">
        <v>342</v>
      </c>
      <c r="B25" s="3">
        <f>216/6</f>
        <v>36</v>
      </c>
      <c r="C25" s="2" t="s">
        <v>8</v>
      </c>
      <c r="D25" s="2" t="s">
        <v>22</v>
      </c>
      <c r="E25" s="2" t="s">
        <v>12</v>
      </c>
      <c r="F25" s="5">
        <v>45680</v>
      </c>
      <c r="G25" s="31" t="s">
        <v>353</v>
      </c>
      <c r="J25"/>
      <c r="K25"/>
    </row>
    <row r="26" spans="1:12" ht="15.75" customHeight="1" x14ac:dyDescent="0.25">
      <c r="A26" s="29" t="s">
        <v>319</v>
      </c>
      <c r="B26" s="3">
        <f>598.8/12</f>
        <v>49.9</v>
      </c>
      <c r="C26" s="2" t="s">
        <v>8</v>
      </c>
      <c r="D26" s="2" t="s">
        <v>20</v>
      </c>
      <c r="E26" s="2" t="s">
        <v>12</v>
      </c>
      <c r="F26" s="5">
        <v>45681</v>
      </c>
      <c r="G26" s="31" t="s">
        <v>322</v>
      </c>
      <c r="J26"/>
      <c r="K26"/>
    </row>
    <row r="27" spans="1:12" ht="15.75" customHeight="1" x14ac:dyDescent="0.25">
      <c r="A27" s="29" t="s">
        <v>361</v>
      </c>
      <c r="B27" s="3">
        <f>197.94/6</f>
        <v>32.99</v>
      </c>
      <c r="C27" s="2" t="s">
        <v>8</v>
      </c>
      <c r="D27" s="2" t="s">
        <v>11</v>
      </c>
      <c r="E27" s="8" t="s">
        <v>12</v>
      </c>
      <c r="F27" s="5">
        <v>45683</v>
      </c>
      <c r="G27" s="31" t="s">
        <v>353</v>
      </c>
      <c r="J27"/>
      <c r="K27"/>
    </row>
    <row r="28" spans="1:12" ht="15.75" customHeight="1" x14ac:dyDescent="0.25">
      <c r="A28" s="29" t="s">
        <v>346</v>
      </c>
      <c r="B28" s="3">
        <f>(145.67+64.44)/5</f>
        <v>42.021999999999998</v>
      </c>
      <c r="C28" s="2" t="s">
        <v>8</v>
      </c>
      <c r="D28" s="2" t="s">
        <v>14</v>
      </c>
      <c r="E28" s="8" t="s">
        <v>12</v>
      </c>
      <c r="F28" s="8">
        <v>45691</v>
      </c>
      <c r="G28" s="31" t="s">
        <v>310</v>
      </c>
      <c r="J28"/>
      <c r="K28"/>
    </row>
    <row r="29" spans="1:12" ht="15.75" customHeight="1" x14ac:dyDescent="0.25">
      <c r="A29" s="29" t="s">
        <v>347</v>
      </c>
      <c r="B29" s="3">
        <f>44.54*2/5</f>
        <v>17.815999999999999</v>
      </c>
      <c r="C29" s="2" t="s">
        <v>8</v>
      </c>
      <c r="D29" s="2" t="s">
        <v>22</v>
      </c>
      <c r="E29" s="8" t="s">
        <v>12</v>
      </c>
      <c r="F29" s="8">
        <v>45691</v>
      </c>
      <c r="G29" s="31" t="s">
        <v>310</v>
      </c>
      <c r="J29"/>
      <c r="K29"/>
    </row>
    <row r="30" spans="1:12" ht="15.75" customHeight="1" x14ac:dyDescent="0.25">
      <c r="A30" s="29" t="s">
        <v>348</v>
      </c>
      <c r="B30" s="3">
        <v>42.66</v>
      </c>
      <c r="C30" s="2" t="s">
        <v>8</v>
      </c>
      <c r="D30" s="2" t="s">
        <v>11</v>
      </c>
      <c r="E30" s="2" t="s">
        <v>12</v>
      </c>
      <c r="F30" s="8">
        <v>45698</v>
      </c>
      <c r="G30" s="31" t="s">
        <v>334</v>
      </c>
      <c r="J30"/>
      <c r="K30"/>
    </row>
    <row r="31" spans="1:12" ht="15.75" customHeight="1" x14ac:dyDescent="0.25">
      <c r="A31" s="29" t="s">
        <v>349</v>
      </c>
      <c r="B31" s="3">
        <v>11.87</v>
      </c>
      <c r="C31" s="2" t="s">
        <v>8</v>
      </c>
      <c r="D31" s="2" t="s">
        <v>11</v>
      </c>
      <c r="E31" s="2" t="s">
        <v>17</v>
      </c>
      <c r="F31" s="8">
        <v>45699</v>
      </c>
      <c r="G31" s="31" t="s">
        <v>310</v>
      </c>
      <c r="J31"/>
      <c r="K31"/>
    </row>
    <row r="32" spans="1:12" ht="15.75" customHeight="1" x14ac:dyDescent="0.25">
      <c r="A32" s="29" t="s">
        <v>350</v>
      </c>
      <c r="B32" s="3">
        <f>199/6</f>
        <v>33.166666666666664</v>
      </c>
      <c r="C32" s="2" t="s">
        <v>8</v>
      </c>
      <c r="D32" s="2" t="s">
        <v>114</v>
      </c>
      <c r="E32" s="2" t="s">
        <v>12</v>
      </c>
      <c r="F32" s="8">
        <v>45701</v>
      </c>
      <c r="G32" s="31" t="s">
        <v>334</v>
      </c>
      <c r="J32"/>
      <c r="K32"/>
    </row>
    <row r="33" spans="1:11" ht="15.75" customHeight="1" x14ac:dyDescent="0.25">
      <c r="A33" s="29" t="s">
        <v>351</v>
      </c>
      <c r="B33" s="3">
        <f>29.4/5</f>
        <v>5.88</v>
      </c>
      <c r="C33" s="2" t="s">
        <v>8</v>
      </c>
      <c r="D33" s="2" t="s">
        <v>11</v>
      </c>
      <c r="E33" s="2" t="s">
        <v>17</v>
      </c>
      <c r="F33" s="8">
        <v>45705</v>
      </c>
      <c r="G33" s="31" t="s">
        <v>310</v>
      </c>
      <c r="J33"/>
      <c r="K33"/>
    </row>
    <row r="34" spans="1:11" ht="15.75" customHeight="1" x14ac:dyDescent="0.25">
      <c r="A34" s="29" t="s">
        <v>352</v>
      </c>
      <c r="B34" s="3">
        <v>116.33</v>
      </c>
      <c r="C34" s="2" t="s">
        <v>8</v>
      </c>
      <c r="D34" s="2" t="s">
        <v>11</v>
      </c>
      <c r="E34" s="2" t="s">
        <v>12</v>
      </c>
      <c r="F34" s="8">
        <v>45710</v>
      </c>
      <c r="G34" s="31" t="s">
        <v>334</v>
      </c>
      <c r="J34"/>
      <c r="K34"/>
    </row>
    <row r="35" spans="1:11" ht="15.75" customHeight="1" x14ac:dyDescent="0.25">
      <c r="A35" s="17" t="s">
        <v>282</v>
      </c>
      <c r="B35" s="89">
        <v>39.134999999999998</v>
      </c>
      <c r="C35" s="18" t="s">
        <v>8</v>
      </c>
      <c r="D35" s="18" t="s">
        <v>22</v>
      </c>
      <c r="E35" s="17" t="s">
        <v>12</v>
      </c>
      <c r="F35" s="26">
        <v>45718</v>
      </c>
      <c r="G35" s="27" t="s">
        <v>297</v>
      </c>
      <c r="J35"/>
      <c r="K35"/>
    </row>
    <row r="36" spans="1:11" ht="15.75" customHeight="1" x14ac:dyDescent="0.25">
      <c r="A36" s="17" t="s">
        <v>284</v>
      </c>
      <c r="B36" s="89">
        <v>173.72499999999999</v>
      </c>
      <c r="C36" s="18" t="s">
        <v>8</v>
      </c>
      <c r="D36" s="18" t="s">
        <v>14</v>
      </c>
      <c r="E36" s="17" t="s">
        <v>12</v>
      </c>
      <c r="F36" s="26">
        <v>45719</v>
      </c>
      <c r="G36" s="27" t="s">
        <v>302</v>
      </c>
      <c r="J36"/>
      <c r="K36"/>
    </row>
    <row r="37" spans="1:11" ht="15.75" customHeight="1" x14ac:dyDescent="0.25">
      <c r="A37" s="17" t="s">
        <v>287</v>
      </c>
      <c r="B37" s="89">
        <v>57.179999999999993</v>
      </c>
      <c r="C37" s="18" t="s">
        <v>8</v>
      </c>
      <c r="D37" s="18" t="s">
        <v>22</v>
      </c>
      <c r="E37" s="17" t="s">
        <v>12</v>
      </c>
      <c r="F37" s="26">
        <v>45719</v>
      </c>
      <c r="G37" s="27" t="s">
        <v>309</v>
      </c>
      <c r="J37"/>
      <c r="K37"/>
    </row>
    <row r="38" spans="1:11" ht="15.75" customHeight="1" x14ac:dyDescent="0.25">
      <c r="A38" s="17" t="s">
        <v>288</v>
      </c>
      <c r="B38" s="89">
        <v>51.137500000000003</v>
      </c>
      <c r="C38" s="18" t="s">
        <v>8</v>
      </c>
      <c r="D38" s="18" t="s">
        <v>11</v>
      </c>
      <c r="E38" s="17" t="s">
        <v>12</v>
      </c>
      <c r="F38" s="26">
        <v>45719</v>
      </c>
      <c r="G38" s="27" t="s">
        <v>302</v>
      </c>
      <c r="J38"/>
      <c r="K38"/>
    </row>
    <row r="39" spans="1:11" ht="15.75" customHeight="1" x14ac:dyDescent="0.25">
      <c r="A39" s="17" t="s">
        <v>290</v>
      </c>
      <c r="B39" s="89">
        <v>52.987499999999997</v>
      </c>
      <c r="C39" s="18" t="s">
        <v>8</v>
      </c>
      <c r="D39" s="18" t="s">
        <v>61</v>
      </c>
      <c r="E39" s="17" t="s">
        <v>12</v>
      </c>
      <c r="F39" s="26">
        <v>45721</v>
      </c>
      <c r="G39" s="27" t="s">
        <v>302</v>
      </c>
      <c r="J39"/>
      <c r="K39"/>
    </row>
    <row r="40" spans="1:11" ht="15.75" customHeight="1" x14ac:dyDescent="0.25">
      <c r="A40" s="17" t="s">
        <v>384</v>
      </c>
      <c r="B40" s="89">
        <v>27.408333333333331</v>
      </c>
      <c r="C40" s="18" t="s">
        <v>8</v>
      </c>
      <c r="D40" s="18" t="s">
        <v>11</v>
      </c>
      <c r="E40" s="17" t="s">
        <v>12</v>
      </c>
      <c r="F40" s="26">
        <v>45731</v>
      </c>
      <c r="G40" s="27" t="s">
        <v>328</v>
      </c>
      <c r="J40"/>
      <c r="K40"/>
    </row>
    <row r="41" spans="1:11" ht="15.75" customHeight="1" x14ac:dyDescent="0.25">
      <c r="A41" s="17" t="s">
        <v>385</v>
      </c>
      <c r="B41" s="89">
        <v>27.406666666666666</v>
      </c>
      <c r="C41" s="18" t="s">
        <v>8</v>
      </c>
      <c r="D41" s="18" t="s">
        <v>14</v>
      </c>
      <c r="E41" s="17" t="s">
        <v>12</v>
      </c>
      <c r="F41" s="26">
        <v>45731</v>
      </c>
      <c r="G41" s="27" t="s">
        <v>328</v>
      </c>
      <c r="J41"/>
      <c r="K41"/>
    </row>
    <row r="42" spans="1:11" ht="15.75" customHeight="1" x14ac:dyDescent="0.25">
      <c r="A42" s="17" t="s">
        <v>391</v>
      </c>
      <c r="B42" s="89">
        <v>36.907499999999999</v>
      </c>
      <c r="C42" s="18" t="s">
        <v>8</v>
      </c>
      <c r="D42" s="18" t="s">
        <v>22</v>
      </c>
      <c r="E42" s="17" t="s">
        <v>17</v>
      </c>
      <c r="F42" s="26">
        <v>45734</v>
      </c>
      <c r="G42" s="27" t="s">
        <v>297</v>
      </c>
      <c r="J42"/>
      <c r="K42"/>
    </row>
    <row r="43" spans="1:11" ht="15.75" customHeight="1" x14ac:dyDescent="0.25">
      <c r="A43" s="17" t="s">
        <v>392</v>
      </c>
      <c r="B43" s="89">
        <v>133.25</v>
      </c>
      <c r="C43" s="18" t="s">
        <v>8</v>
      </c>
      <c r="D43" s="18" t="s">
        <v>22</v>
      </c>
      <c r="E43" s="17" t="s">
        <v>17</v>
      </c>
      <c r="F43" s="26">
        <v>45734</v>
      </c>
      <c r="G43" s="27" t="s">
        <v>297</v>
      </c>
      <c r="J43"/>
      <c r="K43"/>
    </row>
    <row r="44" spans="1:11" ht="15.75" customHeight="1" x14ac:dyDescent="0.25">
      <c r="A44" s="17" t="s">
        <v>400</v>
      </c>
      <c r="B44" s="89">
        <v>54.991666666666667</v>
      </c>
      <c r="C44" s="18" t="s">
        <v>8</v>
      </c>
      <c r="D44" s="18" t="s">
        <v>11</v>
      </c>
      <c r="E44" s="17" t="s">
        <v>12</v>
      </c>
      <c r="F44" s="26">
        <v>45742</v>
      </c>
      <c r="G44" s="27" t="s">
        <v>328</v>
      </c>
      <c r="J44"/>
      <c r="K44"/>
    </row>
    <row r="45" spans="1:11" ht="15.75" customHeight="1" x14ac:dyDescent="0.25">
      <c r="A45" s="17" t="s">
        <v>418</v>
      </c>
      <c r="B45" s="89">
        <v>52.28875</v>
      </c>
      <c r="C45" s="18" t="s">
        <v>8</v>
      </c>
      <c r="D45" s="18" t="s">
        <v>61</v>
      </c>
      <c r="E45" s="17" t="s">
        <v>12</v>
      </c>
      <c r="F45" s="26">
        <v>45753</v>
      </c>
      <c r="G45" s="27" t="s">
        <v>421</v>
      </c>
      <c r="J45"/>
      <c r="K45"/>
    </row>
    <row r="46" spans="1:11" ht="15.75" customHeight="1" x14ac:dyDescent="0.25">
      <c r="A46" s="17" t="s">
        <v>394</v>
      </c>
      <c r="B46" s="89">
        <v>53.199999999999996</v>
      </c>
      <c r="C46" s="18" t="s">
        <v>8</v>
      </c>
      <c r="D46" s="18" t="s">
        <v>11</v>
      </c>
      <c r="E46" s="17" t="s">
        <v>17</v>
      </c>
      <c r="F46" s="26">
        <v>45761</v>
      </c>
      <c r="G46" s="27" t="s">
        <v>305</v>
      </c>
      <c r="J46"/>
      <c r="K46"/>
    </row>
    <row r="47" spans="1:11" ht="15.75" customHeight="1" x14ac:dyDescent="0.25">
      <c r="A47" s="17" t="s">
        <v>439</v>
      </c>
      <c r="B47" s="89">
        <v>123.5</v>
      </c>
      <c r="C47" s="18" t="s">
        <v>8</v>
      </c>
      <c r="D47" s="18" t="s">
        <v>11</v>
      </c>
      <c r="E47" s="17" t="s">
        <v>12</v>
      </c>
      <c r="F47" s="26">
        <v>45771</v>
      </c>
      <c r="G47" s="27" t="s">
        <v>331</v>
      </c>
      <c r="J47"/>
      <c r="K47"/>
    </row>
    <row r="48" spans="1:11" ht="15.75" customHeight="1" x14ac:dyDescent="0.25">
      <c r="A48" s="17" t="s">
        <v>416</v>
      </c>
      <c r="B48" s="89">
        <v>36.199999999999996</v>
      </c>
      <c r="C48" s="18" t="s">
        <v>8</v>
      </c>
      <c r="D48" s="18" t="s">
        <v>11</v>
      </c>
      <c r="E48" s="17" t="s">
        <v>12</v>
      </c>
      <c r="F48" s="26">
        <v>45772</v>
      </c>
      <c r="G48" s="27" t="s">
        <v>305</v>
      </c>
      <c r="J48"/>
      <c r="K48"/>
    </row>
    <row r="49" spans="1:11" ht="15.75" customHeight="1" x14ac:dyDescent="0.25">
      <c r="A49" s="17" t="s">
        <v>447</v>
      </c>
      <c r="B49" s="89">
        <v>50.949999999999996</v>
      </c>
      <c r="C49" s="18" t="s">
        <v>8</v>
      </c>
      <c r="D49" s="18" t="s">
        <v>14</v>
      </c>
      <c r="E49" s="17" t="s">
        <v>12</v>
      </c>
      <c r="F49" s="26">
        <v>45775</v>
      </c>
      <c r="G49" s="27" t="s">
        <v>331</v>
      </c>
      <c r="J49"/>
      <c r="K49"/>
    </row>
    <row r="50" spans="1:11" ht="15.75" customHeight="1" x14ac:dyDescent="0.25">
      <c r="A50" s="17" t="s">
        <v>454</v>
      </c>
      <c r="B50" s="89">
        <v>90.24666666666667</v>
      </c>
      <c r="C50" s="18" t="s">
        <v>8</v>
      </c>
      <c r="D50" s="18" t="s">
        <v>14</v>
      </c>
      <c r="E50" s="17" t="s">
        <v>12</v>
      </c>
      <c r="F50" s="26">
        <v>45778</v>
      </c>
      <c r="G50" s="27" t="s">
        <v>304</v>
      </c>
      <c r="J50"/>
      <c r="K50"/>
    </row>
    <row r="51" spans="1:11" ht="15.75" customHeight="1" x14ac:dyDescent="0.25">
      <c r="A51" s="17" t="s">
        <v>456</v>
      </c>
      <c r="B51" s="89">
        <v>52.06</v>
      </c>
      <c r="C51" s="18" t="s">
        <v>8</v>
      </c>
      <c r="D51" s="18" t="s">
        <v>22</v>
      </c>
      <c r="E51" s="17" t="s">
        <v>12</v>
      </c>
      <c r="F51" s="26">
        <v>45780</v>
      </c>
      <c r="G51" s="27" t="s">
        <v>420</v>
      </c>
      <c r="J51"/>
      <c r="K51"/>
    </row>
    <row r="52" spans="1:11" ht="15.75" customHeight="1" x14ac:dyDescent="0.25">
      <c r="A52" s="17" t="s">
        <v>457</v>
      </c>
      <c r="B52" s="89">
        <v>39.699999999999996</v>
      </c>
      <c r="C52" s="18" t="s">
        <v>8</v>
      </c>
      <c r="D52" s="18" t="s">
        <v>114</v>
      </c>
      <c r="E52" s="17" t="s">
        <v>12</v>
      </c>
      <c r="F52" s="26">
        <v>45780</v>
      </c>
      <c r="G52" s="27" t="s">
        <v>332</v>
      </c>
      <c r="J52"/>
      <c r="K52"/>
    </row>
    <row r="53" spans="1:11" ht="15.75" customHeight="1" x14ac:dyDescent="0.25">
      <c r="A53" s="17" t="s">
        <v>471</v>
      </c>
      <c r="B53" s="89">
        <v>122.45</v>
      </c>
      <c r="C53" s="18" t="s">
        <v>8</v>
      </c>
      <c r="D53" s="18" t="s">
        <v>11</v>
      </c>
      <c r="E53" s="17" t="s">
        <v>17</v>
      </c>
      <c r="F53" s="26">
        <v>45789</v>
      </c>
      <c r="G53" s="27" t="s">
        <v>300</v>
      </c>
      <c r="J53"/>
      <c r="K53"/>
    </row>
    <row r="54" spans="1:11" ht="15.75" customHeight="1" x14ac:dyDescent="0.25">
      <c r="A54" s="17" t="s">
        <v>483</v>
      </c>
      <c r="B54" s="91">
        <v>245.4</v>
      </c>
      <c r="C54" s="18" t="s">
        <v>8</v>
      </c>
      <c r="D54" s="18" t="s">
        <v>14</v>
      </c>
      <c r="E54" s="17" t="s">
        <v>12</v>
      </c>
      <c r="F54" s="26">
        <v>45796</v>
      </c>
      <c r="G54" s="27" t="s">
        <v>304</v>
      </c>
      <c r="J54"/>
      <c r="K54"/>
    </row>
    <row r="55" spans="1:11" ht="15.75" customHeight="1" x14ac:dyDescent="0.25">
      <c r="A55" s="17" t="s">
        <v>486</v>
      </c>
      <c r="B55" s="92">
        <v>142.34</v>
      </c>
      <c r="C55" s="18" t="s">
        <v>8</v>
      </c>
      <c r="D55" s="18" t="s">
        <v>14</v>
      </c>
      <c r="E55" s="17" t="s">
        <v>17</v>
      </c>
      <c r="F55" s="26">
        <v>45797</v>
      </c>
      <c r="G55" s="27" t="s">
        <v>304</v>
      </c>
      <c r="J55"/>
      <c r="K55"/>
    </row>
    <row r="56" spans="1:11" ht="15.75" customHeight="1" x14ac:dyDescent="0.25">
      <c r="A56" s="17" t="s">
        <v>516</v>
      </c>
      <c r="B56" s="109">
        <v>129.11000000000001</v>
      </c>
      <c r="C56" s="18" t="s">
        <v>8</v>
      </c>
      <c r="D56" s="18" t="s">
        <v>517</v>
      </c>
      <c r="E56" s="17" t="s">
        <v>17</v>
      </c>
      <c r="F56" s="26">
        <v>45798</v>
      </c>
      <c r="G56" s="27" t="s">
        <v>327</v>
      </c>
      <c r="J56"/>
      <c r="K56"/>
    </row>
    <row r="57" spans="1:11" ht="15.75" customHeight="1" x14ac:dyDescent="0.25">
      <c r="A57" s="17" t="s">
        <v>518</v>
      </c>
      <c r="B57" s="109">
        <v>133.64000000000001</v>
      </c>
      <c r="C57" s="18" t="s">
        <v>8</v>
      </c>
      <c r="D57" s="18" t="s">
        <v>517</v>
      </c>
      <c r="E57" s="17" t="s">
        <v>17</v>
      </c>
      <c r="F57" s="26">
        <v>45798</v>
      </c>
      <c r="G57" s="27" t="s">
        <v>520</v>
      </c>
      <c r="J57"/>
      <c r="K57"/>
    </row>
    <row r="58" spans="1:11" ht="15.75" customHeight="1" x14ac:dyDescent="0.25">
      <c r="A58" s="17" t="s">
        <v>490</v>
      </c>
      <c r="B58" s="93">
        <v>53.569000000000003</v>
      </c>
      <c r="C58" s="18" t="s">
        <v>8</v>
      </c>
      <c r="D58" s="18" t="s">
        <v>14</v>
      </c>
      <c r="E58" s="17" t="s">
        <v>12</v>
      </c>
      <c r="F58" s="26">
        <v>45799</v>
      </c>
      <c r="G58" s="27" t="s">
        <v>492</v>
      </c>
      <c r="J58"/>
      <c r="K58"/>
    </row>
    <row r="59" spans="1:11" ht="15.75" customHeight="1" x14ac:dyDescent="0.25">
      <c r="A59" s="17" t="s">
        <v>456</v>
      </c>
      <c r="B59" s="93">
        <v>40.984999999999999</v>
      </c>
      <c r="C59" s="18" t="s">
        <v>8</v>
      </c>
      <c r="D59" s="18" t="s">
        <v>22</v>
      </c>
      <c r="E59" s="17" t="s">
        <v>12</v>
      </c>
      <c r="F59" s="26">
        <v>45799</v>
      </c>
      <c r="G59" s="27" t="s">
        <v>327</v>
      </c>
      <c r="J59"/>
      <c r="K59"/>
    </row>
    <row r="60" spans="1:11" ht="15.75" customHeight="1" x14ac:dyDescent="0.25">
      <c r="A60" s="17" t="s">
        <v>495</v>
      </c>
      <c r="B60" s="102">
        <v>68.393333333333331</v>
      </c>
      <c r="C60" s="18" t="s">
        <v>8</v>
      </c>
      <c r="D60" s="18" t="s">
        <v>14</v>
      </c>
      <c r="E60" s="17" t="s">
        <v>12</v>
      </c>
      <c r="F60" s="26">
        <v>45801</v>
      </c>
      <c r="G60" s="27" t="s">
        <v>304</v>
      </c>
      <c r="J60"/>
      <c r="K60"/>
    </row>
    <row r="61" spans="1:11" ht="15.75" customHeight="1" x14ac:dyDescent="0.25">
      <c r="A61" s="17" t="s">
        <v>505</v>
      </c>
      <c r="B61" s="106">
        <v>81.599999999999994</v>
      </c>
      <c r="C61" s="18" t="s">
        <v>8</v>
      </c>
      <c r="D61" s="18" t="s">
        <v>11</v>
      </c>
      <c r="E61" s="17" t="s">
        <v>12</v>
      </c>
      <c r="F61" s="26">
        <v>45805</v>
      </c>
      <c r="G61" s="27" t="s">
        <v>307</v>
      </c>
      <c r="J61"/>
      <c r="K61"/>
    </row>
    <row r="62" spans="1:11" ht="15.75" customHeight="1" x14ac:dyDescent="0.25">
      <c r="A62" s="17" t="s">
        <v>506</v>
      </c>
      <c r="B62" s="106">
        <v>39.012500000000003</v>
      </c>
      <c r="C62" s="18" t="s">
        <v>8</v>
      </c>
      <c r="D62" s="18" t="s">
        <v>22</v>
      </c>
      <c r="E62" s="17" t="s">
        <v>12</v>
      </c>
      <c r="F62" s="26">
        <v>45805</v>
      </c>
      <c r="G62" s="27" t="s">
        <v>300</v>
      </c>
      <c r="J62"/>
      <c r="K62"/>
    </row>
    <row r="63" spans="1:11" ht="15.75" customHeight="1" x14ac:dyDescent="0.25">
      <c r="A63" s="17" t="s">
        <v>508</v>
      </c>
      <c r="B63" s="109">
        <v>354</v>
      </c>
      <c r="C63" s="18" t="s">
        <v>8</v>
      </c>
      <c r="D63" s="18" t="s">
        <v>36</v>
      </c>
      <c r="E63" s="17" t="s">
        <v>12</v>
      </c>
      <c r="F63" s="26">
        <v>45809</v>
      </c>
      <c r="G63" s="27" t="s">
        <v>293</v>
      </c>
      <c r="J63"/>
      <c r="K63"/>
    </row>
    <row r="64" spans="1:11" ht="15.75" customHeight="1" x14ac:dyDescent="0.25">
      <c r="A64" s="108" t="s">
        <v>509</v>
      </c>
      <c r="B64" s="109">
        <v>294.55</v>
      </c>
      <c r="C64" s="18" t="s">
        <v>8</v>
      </c>
      <c r="D64" s="18" t="s">
        <v>118</v>
      </c>
      <c r="E64" s="108" t="s">
        <v>12</v>
      </c>
      <c r="F64" s="26">
        <v>45810</v>
      </c>
      <c r="G64" s="27" t="s">
        <v>293</v>
      </c>
      <c r="J64"/>
      <c r="K64"/>
    </row>
    <row r="65" spans="1:11" ht="15.75" customHeight="1" x14ac:dyDescent="0.25">
      <c r="A65" s="108" t="s">
        <v>120</v>
      </c>
      <c r="B65" s="109">
        <v>29.9</v>
      </c>
      <c r="C65" s="18" t="s">
        <v>8</v>
      </c>
      <c r="D65" s="18" t="s">
        <v>31</v>
      </c>
      <c r="E65" s="108" t="s">
        <v>12</v>
      </c>
      <c r="F65" s="26">
        <v>45811</v>
      </c>
      <c r="G65" s="27" t="s">
        <v>293</v>
      </c>
      <c r="J65"/>
      <c r="K65"/>
    </row>
    <row r="66" spans="1:11" ht="15.75" customHeight="1" x14ac:dyDescent="0.25">
      <c r="A66" s="108" t="s">
        <v>513</v>
      </c>
      <c r="B66" s="109">
        <v>47.5</v>
      </c>
      <c r="C66" s="18" t="s">
        <v>8</v>
      </c>
      <c r="D66" s="18" t="s">
        <v>22</v>
      </c>
      <c r="E66" s="108" t="s">
        <v>12</v>
      </c>
      <c r="F66" s="26">
        <v>45810</v>
      </c>
      <c r="G66" s="27" t="s">
        <v>397</v>
      </c>
      <c r="J66"/>
      <c r="K66"/>
    </row>
    <row r="67" spans="1:11" ht="15.75" customHeight="1" x14ac:dyDescent="0.25">
      <c r="A67" s="108" t="s">
        <v>514</v>
      </c>
      <c r="B67" s="109">
        <v>31.995999999999999</v>
      </c>
      <c r="C67" s="18" t="s">
        <v>8</v>
      </c>
      <c r="D67" s="18" t="s">
        <v>22</v>
      </c>
      <c r="E67" s="108" t="s">
        <v>12</v>
      </c>
      <c r="F67" s="26">
        <v>45811</v>
      </c>
      <c r="G67" s="27" t="s">
        <v>306</v>
      </c>
      <c r="J67"/>
      <c r="K67"/>
    </row>
    <row r="68" spans="1:11" ht="15.75" customHeight="1" x14ac:dyDescent="0.25">
      <c r="A68" s="108" t="s">
        <v>180</v>
      </c>
      <c r="B68" s="109">
        <v>107.03</v>
      </c>
      <c r="C68" s="18" t="s">
        <v>8</v>
      </c>
      <c r="D68" s="18" t="s">
        <v>22</v>
      </c>
      <c r="E68" s="108" t="s">
        <v>12</v>
      </c>
      <c r="F68" s="26">
        <v>45813</v>
      </c>
      <c r="G68" s="27" t="s">
        <v>293</v>
      </c>
      <c r="J68"/>
      <c r="K68"/>
    </row>
    <row r="69" spans="1:11" ht="15.75" customHeight="1" x14ac:dyDescent="0.25">
      <c r="A69" s="108" t="s">
        <v>526</v>
      </c>
      <c r="B69" s="109">
        <v>14.9</v>
      </c>
      <c r="C69" s="18" t="s">
        <v>8</v>
      </c>
      <c r="D69" s="18" t="s">
        <v>11</v>
      </c>
      <c r="E69" s="108" t="s">
        <v>17</v>
      </c>
      <c r="F69" s="26">
        <v>45809</v>
      </c>
      <c r="G69" s="27" t="s">
        <v>293</v>
      </c>
      <c r="J69"/>
      <c r="K69"/>
    </row>
    <row r="70" spans="1:11" ht="15.75" customHeight="1" x14ac:dyDescent="0.25">
      <c r="A70" s="108" t="s">
        <v>527</v>
      </c>
      <c r="B70" s="109">
        <v>90.27</v>
      </c>
      <c r="C70" s="18" t="s">
        <v>8</v>
      </c>
      <c r="D70" s="18" t="s">
        <v>517</v>
      </c>
      <c r="E70" s="108" t="s">
        <v>17</v>
      </c>
      <c r="F70" s="26">
        <v>45810</v>
      </c>
      <c r="G70" s="27" t="s">
        <v>293</v>
      </c>
      <c r="J70"/>
      <c r="K70"/>
    </row>
    <row r="71" spans="1:11" ht="15.75" customHeight="1" x14ac:dyDescent="0.25">
      <c r="A71" s="108" t="s">
        <v>527</v>
      </c>
      <c r="B71" s="109">
        <v>133.64000000000001</v>
      </c>
      <c r="C71" s="18" t="s">
        <v>8</v>
      </c>
      <c r="D71" s="18" t="s">
        <v>517</v>
      </c>
      <c r="E71" s="108" t="s">
        <v>17</v>
      </c>
      <c r="F71" s="26">
        <v>45810</v>
      </c>
      <c r="G71" s="27" t="s">
        <v>519</v>
      </c>
      <c r="J71"/>
      <c r="K71"/>
    </row>
    <row r="72" spans="1:11" ht="15.75" customHeight="1" x14ac:dyDescent="0.25">
      <c r="A72" s="108" t="s">
        <v>528</v>
      </c>
      <c r="B72" s="109">
        <v>26.9</v>
      </c>
      <c r="C72" s="18" t="s">
        <v>8</v>
      </c>
      <c r="D72" s="18" t="s">
        <v>36</v>
      </c>
      <c r="E72" s="108" t="s">
        <v>17</v>
      </c>
      <c r="F72" s="26">
        <v>45810</v>
      </c>
      <c r="G72" s="27" t="s">
        <v>293</v>
      </c>
      <c r="J72"/>
      <c r="K72"/>
    </row>
    <row r="73" spans="1:11" ht="15.75" customHeight="1" x14ac:dyDescent="0.25">
      <c r="A73" s="108" t="s">
        <v>529</v>
      </c>
      <c r="B73" s="109">
        <v>54.46</v>
      </c>
      <c r="C73" s="18" t="s">
        <v>8</v>
      </c>
      <c r="D73" s="18" t="s">
        <v>14</v>
      </c>
      <c r="E73" s="108" t="s">
        <v>17</v>
      </c>
      <c r="F73" s="26">
        <v>45810</v>
      </c>
      <c r="G73" s="27" t="s">
        <v>303</v>
      </c>
      <c r="J73"/>
      <c r="K73"/>
    </row>
    <row r="74" spans="1:11" ht="15.75" customHeight="1" x14ac:dyDescent="0.25">
      <c r="A74" s="108" t="s">
        <v>430</v>
      </c>
      <c r="B74" s="109">
        <v>100</v>
      </c>
      <c r="C74" s="18" t="s">
        <v>8</v>
      </c>
      <c r="D74" s="18" t="s">
        <v>517</v>
      </c>
      <c r="E74" s="108" t="s">
        <v>17</v>
      </c>
      <c r="F74" s="26">
        <v>45810</v>
      </c>
      <c r="G74" s="27" t="s">
        <v>293</v>
      </c>
      <c r="J74"/>
      <c r="K74"/>
    </row>
    <row r="75" spans="1:11" ht="15.75" customHeight="1" x14ac:dyDescent="0.25">
      <c r="A75" s="108" t="s">
        <v>530</v>
      </c>
      <c r="B75" s="109">
        <v>54.03</v>
      </c>
      <c r="C75" s="18" t="s">
        <v>8</v>
      </c>
      <c r="D75" s="18" t="s">
        <v>36</v>
      </c>
      <c r="E75" s="108" t="s">
        <v>17</v>
      </c>
      <c r="F75" s="26">
        <v>45811</v>
      </c>
      <c r="G75" s="27" t="s">
        <v>293</v>
      </c>
      <c r="J75"/>
      <c r="K75"/>
    </row>
    <row r="76" spans="1:11" ht="15.75" customHeight="1" x14ac:dyDescent="0.25">
      <c r="A76" s="108" t="s">
        <v>531</v>
      </c>
      <c r="B76" s="109">
        <v>12</v>
      </c>
      <c r="C76" s="18" t="s">
        <v>8</v>
      </c>
      <c r="D76" s="18" t="s">
        <v>36</v>
      </c>
      <c r="E76" s="108" t="s">
        <v>17</v>
      </c>
      <c r="F76" s="26">
        <v>45811</v>
      </c>
      <c r="G76" s="27" t="s">
        <v>293</v>
      </c>
      <c r="J76"/>
      <c r="K76"/>
    </row>
    <row r="77" spans="1:11" ht="15.75" customHeight="1" x14ac:dyDescent="0.25">
      <c r="A77" s="108" t="s">
        <v>427</v>
      </c>
      <c r="B77" s="109">
        <v>30</v>
      </c>
      <c r="C77" s="18" t="s">
        <v>8</v>
      </c>
      <c r="D77" s="18" t="s">
        <v>26</v>
      </c>
      <c r="E77" s="108" t="s">
        <v>17</v>
      </c>
      <c r="F77" s="26">
        <v>45811</v>
      </c>
      <c r="G77" s="27" t="s">
        <v>293</v>
      </c>
      <c r="J77"/>
      <c r="K77"/>
    </row>
    <row r="78" spans="1:11" ht="15.75" customHeight="1" x14ac:dyDescent="0.25">
      <c r="A78" s="108" t="s">
        <v>532</v>
      </c>
      <c r="B78" s="109">
        <v>20</v>
      </c>
      <c r="C78" s="18" t="s">
        <v>8</v>
      </c>
      <c r="D78" s="18" t="s">
        <v>117</v>
      </c>
      <c r="E78" s="108" t="s">
        <v>17</v>
      </c>
      <c r="F78" s="26">
        <v>45810</v>
      </c>
      <c r="G78" s="27" t="s">
        <v>293</v>
      </c>
      <c r="J78"/>
      <c r="K78"/>
    </row>
    <row r="79" spans="1:11" ht="15.75" customHeight="1" x14ac:dyDescent="0.25">
      <c r="A79" s="108" t="s">
        <v>532</v>
      </c>
      <c r="B79" s="109">
        <v>20</v>
      </c>
      <c r="C79" s="18" t="s">
        <v>8</v>
      </c>
      <c r="D79" s="18" t="s">
        <v>117</v>
      </c>
      <c r="E79" s="108" t="s">
        <v>17</v>
      </c>
      <c r="F79" s="26">
        <v>45812</v>
      </c>
      <c r="G79" s="27" t="s">
        <v>293</v>
      </c>
      <c r="J79"/>
      <c r="K79"/>
    </row>
    <row r="80" spans="1:11" ht="15.75" customHeight="1" x14ac:dyDescent="0.25">
      <c r="A80" s="17" t="s">
        <v>534</v>
      </c>
      <c r="B80" s="111">
        <v>76.790000000000006</v>
      </c>
      <c r="C80" s="18" t="s">
        <v>8</v>
      </c>
      <c r="D80" s="18" t="s">
        <v>36</v>
      </c>
      <c r="E80" s="17" t="s">
        <v>17</v>
      </c>
      <c r="F80" s="26">
        <v>45813</v>
      </c>
      <c r="G80" s="27" t="s">
        <v>293</v>
      </c>
      <c r="J80"/>
      <c r="K80"/>
    </row>
    <row r="81" spans="1:11" ht="15.75" customHeight="1" x14ac:dyDescent="0.25">
      <c r="A81" s="17" t="s">
        <v>535</v>
      </c>
      <c r="B81" s="111">
        <v>26</v>
      </c>
      <c r="C81" s="18" t="s">
        <v>8</v>
      </c>
      <c r="D81" s="18" t="s">
        <v>11</v>
      </c>
      <c r="E81" s="17" t="s">
        <v>17</v>
      </c>
      <c r="F81" s="26">
        <v>45816</v>
      </c>
      <c r="G81" s="27" t="s">
        <v>293</v>
      </c>
      <c r="J81"/>
      <c r="K81"/>
    </row>
    <row r="82" spans="1:11" ht="15.75" customHeight="1" x14ac:dyDescent="0.25">
      <c r="A82" s="17" t="s">
        <v>13</v>
      </c>
      <c r="B82" s="111">
        <v>51.963333333333331</v>
      </c>
      <c r="C82" s="18" t="s">
        <v>8</v>
      </c>
      <c r="D82" s="18" t="s">
        <v>11</v>
      </c>
      <c r="E82" s="17" t="s">
        <v>17</v>
      </c>
      <c r="F82" s="26">
        <v>45816</v>
      </c>
      <c r="G82" s="27" t="s">
        <v>303</v>
      </c>
      <c r="J82"/>
      <c r="K82"/>
    </row>
    <row r="83" spans="1:11" ht="15.75" customHeight="1" x14ac:dyDescent="0.25">
      <c r="A83" s="17" t="s">
        <v>536</v>
      </c>
      <c r="B83" s="111">
        <v>9.98</v>
      </c>
      <c r="C83" s="18" t="s">
        <v>8</v>
      </c>
      <c r="D83" s="18" t="s">
        <v>16</v>
      </c>
      <c r="E83" s="17" t="s">
        <v>12</v>
      </c>
      <c r="F83" s="26">
        <v>45814</v>
      </c>
      <c r="G83" s="27" t="s">
        <v>293</v>
      </c>
      <c r="J83"/>
      <c r="K83"/>
    </row>
    <row r="84" spans="1:11" ht="15.75" customHeight="1" x14ac:dyDescent="0.25">
      <c r="A84" s="17" t="s">
        <v>537</v>
      </c>
      <c r="B84" s="111">
        <v>59.5</v>
      </c>
      <c r="C84" s="18" t="s">
        <v>8</v>
      </c>
      <c r="D84" s="18" t="s">
        <v>114</v>
      </c>
      <c r="E84" s="17" t="s">
        <v>12</v>
      </c>
      <c r="F84" s="26">
        <v>45814</v>
      </c>
      <c r="G84" s="27" t="s">
        <v>293</v>
      </c>
      <c r="J84"/>
      <c r="K84"/>
    </row>
    <row r="85" spans="1:11" ht="15.75" customHeight="1" x14ac:dyDescent="0.25">
      <c r="A85" s="17" t="s">
        <v>538</v>
      </c>
      <c r="B85" s="111">
        <v>28.07</v>
      </c>
      <c r="C85" s="18" t="s">
        <v>8</v>
      </c>
      <c r="D85" s="18" t="s">
        <v>117</v>
      </c>
      <c r="E85" s="17" t="s">
        <v>12</v>
      </c>
      <c r="F85" s="26">
        <v>45814</v>
      </c>
      <c r="G85" s="27" t="s">
        <v>293</v>
      </c>
      <c r="J85"/>
      <c r="K85"/>
    </row>
    <row r="86" spans="1:11" ht="15.75" customHeight="1" x14ac:dyDescent="0.25">
      <c r="A86" s="17" t="s">
        <v>539</v>
      </c>
      <c r="B86" s="111">
        <v>26.333333333333332</v>
      </c>
      <c r="C86" s="18" t="s">
        <v>8</v>
      </c>
      <c r="D86" s="18" t="s">
        <v>11</v>
      </c>
      <c r="E86" s="17" t="s">
        <v>12</v>
      </c>
      <c r="F86" s="26">
        <v>45814</v>
      </c>
      <c r="G86" s="27" t="s">
        <v>303</v>
      </c>
      <c r="J86"/>
      <c r="K86"/>
    </row>
    <row r="87" spans="1:11" ht="15.75" customHeight="1" x14ac:dyDescent="0.25">
      <c r="A87" s="17" t="s">
        <v>540</v>
      </c>
      <c r="B87" s="111">
        <v>110.99666666666667</v>
      </c>
      <c r="C87" s="18" t="s">
        <v>8</v>
      </c>
      <c r="D87" s="18" t="s">
        <v>517</v>
      </c>
      <c r="E87" s="17" t="s">
        <v>12</v>
      </c>
      <c r="F87" s="26">
        <v>45815</v>
      </c>
      <c r="G87" s="27" t="s">
        <v>303</v>
      </c>
      <c r="J87"/>
      <c r="K87"/>
    </row>
    <row r="88" spans="1:11" ht="15.75" customHeight="1" x14ac:dyDescent="0.25">
      <c r="A88" s="17" t="s">
        <v>540</v>
      </c>
      <c r="B88" s="111">
        <v>37.013333333333335</v>
      </c>
      <c r="C88" s="18" t="s">
        <v>8</v>
      </c>
      <c r="D88" s="18" t="s">
        <v>517</v>
      </c>
      <c r="E88" s="17" t="s">
        <v>12</v>
      </c>
      <c r="F88" s="26">
        <v>45815</v>
      </c>
      <c r="G88" s="27" t="s">
        <v>303</v>
      </c>
      <c r="J88"/>
      <c r="K88"/>
    </row>
    <row r="89" spans="1:11" ht="15.75" customHeight="1" x14ac:dyDescent="0.25">
      <c r="A89" s="17" t="s">
        <v>541</v>
      </c>
      <c r="B89" s="111">
        <v>286.39</v>
      </c>
      <c r="C89" s="18" t="s">
        <v>8</v>
      </c>
      <c r="D89" s="18" t="s">
        <v>36</v>
      </c>
      <c r="E89" s="17" t="s">
        <v>12</v>
      </c>
      <c r="F89" s="26">
        <v>45815</v>
      </c>
      <c r="G89" s="27" t="s">
        <v>293</v>
      </c>
      <c r="J89"/>
      <c r="K89"/>
    </row>
    <row r="90" spans="1:11" ht="15.75" customHeight="1" x14ac:dyDescent="0.25">
      <c r="A90" s="17" t="s">
        <v>542</v>
      </c>
      <c r="B90" s="111">
        <v>47.49</v>
      </c>
      <c r="C90" s="18" t="s">
        <v>8</v>
      </c>
      <c r="D90" s="18" t="s">
        <v>11</v>
      </c>
      <c r="E90" s="17" t="s">
        <v>12</v>
      </c>
      <c r="F90" s="26">
        <v>45815</v>
      </c>
      <c r="G90" s="27" t="s">
        <v>293</v>
      </c>
      <c r="J90"/>
      <c r="K90"/>
    </row>
    <row r="91" spans="1:11" ht="15.75" customHeight="1" x14ac:dyDescent="0.25">
      <c r="A91" s="17" t="s">
        <v>543</v>
      </c>
      <c r="B91" s="111">
        <v>23.495000000000001</v>
      </c>
      <c r="C91" s="18" t="s">
        <v>8</v>
      </c>
      <c r="D91" s="18" t="s">
        <v>22</v>
      </c>
      <c r="E91" s="17" t="s">
        <v>12</v>
      </c>
      <c r="F91" s="26">
        <v>45815</v>
      </c>
      <c r="G91" s="27" t="s">
        <v>397</v>
      </c>
      <c r="J91"/>
      <c r="K91"/>
    </row>
    <row r="92" spans="1:11" ht="15.75" customHeight="1" x14ac:dyDescent="0.25">
      <c r="A92" s="17" t="s">
        <v>417</v>
      </c>
      <c r="B92" s="111">
        <v>82.03</v>
      </c>
      <c r="C92" s="18" t="s">
        <v>8</v>
      </c>
      <c r="D92" s="18" t="s">
        <v>61</v>
      </c>
      <c r="E92" s="17" t="s">
        <v>12</v>
      </c>
      <c r="F92" s="26">
        <v>45816</v>
      </c>
      <c r="G92" s="27" t="s">
        <v>293</v>
      </c>
      <c r="J92"/>
      <c r="K92"/>
    </row>
    <row r="93" spans="1:11" ht="15.75" customHeight="1" x14ac:dyDescent="0.25">
      <c r="A93" s="17" t="s">
        <v>544</v>
      </c>
      <c r="B93" s="111">
        <v>77.12</v>
      </c>
      <c r="C93" s="18" t="s">
        <v>8</v>
      </c>
      <c r="D93" s="18" t="s">
        <v>114</v>
      </c>
      <c r="E93" s="17" t="s">
        <v>12</v>
      </c>
      <c r="F93" s="26">
        <v>45816</v>
      </c>
      <c r="G93" s="27" t="s">
        <v>491</v>
      </c>
      <c r="J93"/>
      <c r="K93"/>
    </row>
    <row r="94" spans="1:11" ht="15.75" customHeight="1" x14ac:dyDescent="0.25">
      <c r="A94" s="17" t="s">
        <v>545</v>
      </c>
      <c r="B94" s="111">
        <v>119.77</v>
      </c>
      <c r="C94" s="18" t="s">
        <v>8</v>
      </c>
      <c r="D94" s="18" t="s">
        <v>114</v>
      </c>
      <c r="E94" s="17" t="s">
        <v>12</v>
      </c>
      <c r="F94" s="26">
        <v>45816</v>
      </c>
      <c r="G94" s="27" t="s">
        <v>293</v>
      </c>
      <c r="J94"/>
      <c r="K94"/>
    </row>
    <row r="95" spans="1:11" ht="15.75" customHeight="1" x14ac:dyDescent="0.25">
      <c r="A95" s="116" t="s">
        <v>546</v>
      </c>
      <c r="B95" s="113">
        <v>158.30000000000001</v>
      </c>
      <c r="C95" s="116" t="s">
        <v>8</v>
      </c>
      <c r="D95" s="116" t="s">
        <v>63</v>
      </c>
      <c r="E95" s="116" t="s">
        <v>17</v>
      </c>
      <c r="F95" s="26">
        <v>45817</v>
      </c>
      <c r="G95" s="117" t="s">
        <v>293</v>
      </c>
      <c r="J95"/>
      <c r="K95"/>
    </row>
    <row r="96" spans="1:11" ht="15.75" customHeight="1" x14ac:dyDescent="0.25">
      <c r="A96" s="17" t="s">
        <v>547</v>
      </c>
      <c r="B96" s="113">
        <v>6.2</v>
      </c>
      <c r="C96" s="18" t="s">
        <v>8</v>
      </c>
      <c r="D96" s="18" t="s">
        <v>114</v>
      </c>
      <c r="E96" s="17" t="s">
        <v>12</v>
      </c>
      <c r="F96" s="26">
        <v>45817</v>
      </c>
      <c r="G96" s="27" t="s">
        <v>293</v>
      </c>
      <c r="J96"/>
      <c r="K96"/>
    </row>
    <row r="97" spans="1:11" ht="15.75" customHeight="1" x14ac:dyDescent="0.25">
      <c r="A97" s="17" t="s">
        <v>548</v>
      </c>
      <c r="B97" s="113">
        <v>31.6</v>
      </c>
      <c r="C97" s="18" t="s">
        <v>8</v>
      </c>
      <c r="D97" s="18" t="s">
        <v>31</v>
      </c>
      <c r="E97" s="17" t="s">
        <v>12</v>
      </c>
      <c r="F97" s="26">
        <v>45817</v>
      </c>
      <c r="G97" s="27" t="s">
        <v>293</v>
      </c>
      <c r="J97"/>
      <c r="K97"/>
    </row>
    <row r="98" spans="1:11" ht="15.75" customHeight="1" x14ac:dyDescent="0.25">
      <c r="A98" s="17" t="s">
        <v>13</v>
      </c>
      <c r="B98" s="113">
        <v>62.6</v>
      </c>
      <c r="C98" s="18" t="s">
        <v>8</v>
      </c>
      <c r="D98" s="18" t="s">
        <v>16</v>
      </c>
      <c r="E98" s="17" t="s">
        <v>12</v>
      </c>
      <c r="F98" s="26">
        <v>45818</v>
      </c>
      <c r="G98" s="27" t="s">
        <v>293</v>
      </c>
      <c r="J98"/>
      <c r="K98"/>
    </row>
    <row r="99" spans="1:11" ht="15.75" customHeight="1" x14ac:dyDescent="0.25">
      <c r="A99" s="17" t="s">
        <v>468</v>
      </c>
      <c r="B99" s="113">
        <v>5.95</v>
      </c>
      <c r="C99" s="18" t="s">
        <v>8</v>
      </c>
      <c r="D99" s="18" t="s">
        <v>36</v>
      </c>
      <c r="E99" s="17" t="s">
        <v>12</v>
      </c>
      <c r="F99" s="26">
        <v>45818</v>
      </c>
      <c r="G99" s="27" t="s">
        <v>293</v>
      </c>
      <c r="J99"/>
      <c r="K99"/>
    </row>
    <row r="100" spans="1:11" ht="15.75" customHeight="1" x14ac:dyDescent="0.25">
      <c r="A100" s="17" t="s">
        <v>120</v>
      </c>
      <c r="B100" s="113">
        <v>8.9</v>
      </c>
      <c r="C100" s="18" t="s">
        <v>8</v>
      </c>
      <c r="D100" s="18" t="s">
        <v>31</v>
      </c>
      <c r="E100" s="17" t="s">
        <v>12</v>
      </c>
      <c r="F100" s="26">
        <v>45818</v>
      </c>
      <c r="G100" s="27" t="s">
        <v>293</v>
      </c>
      <c r="J100"/>
      <c r="K100"/>
    </row>
    <row r="101" spans="1:11" ht="15.75" customHeight="1" x14ac:dyDescent="0.25">
      <c r="A101" s="17" t="s">
        <v>120</v>
      </c>
      <c r="B101" s="115">
        <v>11.8</v>
      </c>
      <c r="C101" s="18" t="s">
        <v>8</v>
      </c>
      <c r="D101" s="18" t="s">
        <v>31</v>
      </c>
      <c r="E101" s="17" t="s">
        <v>12</v>
      </c>
      <c r="F101" s="26">
        <v>45819</v>
      </c>
      <c r="G101" s="27" t="s">
        <v>293</v>
      </c>
      <c r="J101"/>
      <c r="K101"/>
    </row>
    <row r="102" spans="1:11" ht="15.75" customHeight="1" x14ac:dyDescent="0.25">
      <c r="A102" s="17" t="s">
        <v>120</v>
      </c>
      <c r="B102" s="115">
        <v>13.3</v>
      </c>
      <c r="C102" s="18" t="s">
        <v>8</v>
      </c>
      <c r="D102" s="18" t="s">
        <v>31</v>
      </c>
      <c r="E102" s="17" t="s">
        <v>12</v>
      </c>
      <c r="F102" s="26">
        <v>45819</v>
      </c>
      <c r="G102" s="27" t="s">
        <v>293</v>
      </c>
      <c r="J102"/>
      <c r="K102"/>
    </row>
    <row r="103" spans="1:11" ht="15.75" customHeight="1" x14ac:dyDescent="0.25">
      <c r="A103" s="17" t="s">
        <v>43</v>
      </c>
      <c r="B103" s="115">
        <v>59.8</v>
      </c>
      <c r="C103" s="18" t="s">
        <v>8</v>
      </c>
      <c r="D103" s="18" t="s">
        <v>31</v>
      </c>
      <c r="E103" s="17" t="s">
        <v>12</v>
      </c>
      <c r="F103" s="26">
        <v>45819</v>
      </c>
      <c r="G103" s="27" t="s">
        <v>293</v>
      </c>
      <c r="J103"/>
      <c r="K103"/>
    </row>
    <row r="104" spans="1:11" ht="15.75" customHeight="1" x14ac:dyDescent="0.25">
      <c r="A104" s="17" t="s">
        <v>380</v>
      </c>
      <c r="B104" s="115">
        <v>105.55</v>
      </c>
      <c r="C104" s="18" t="s">
        <v>8</v>
      </c>
      <c r="D104" s="18" t="s">
        <v>68</v>
      </c>
      <c r="E104" s="17" t="s">
        <v>12</v>
      </c>
      <c r="F104" s="26">
        <v>45819</v>
      </c>
      <c r="G104" s="27" t="s">
        <v>293</v>
      </c>
      <c r="J104"/>
      <c r="K104"/>
    </row>
    <row r="105" spans="1:11" ht="15.75" customHeight="1" x14ac:dyDescent="0.25">
      <c r="A105" s="17" t="s">
        <v>556</v>
      </c>
      <c r="B105" s="115">
        <v>11.76</v>
      </c>
      <c r="C105" s="18" t="s">
        <v>8</v>
      </c>
      <c r="D105" s="18" t="s">
        <v>114</v>
      </c>
      <c r="E105" s="17" t="s">
        <v>12</v>
      </c>
      <c r="F105" s="26">
        <v>45820</v>
      </c>
      <c r="G105" s="27" t="s">
        <v>293</v>
      </c>
      <c r="J105"/>
      <c r="K105"/>
    </row>
    <row r="106" spans="1:11" ht="15.75" customHeight="1" x14ac:dyDescent="0.25">
      <c r="A106" s="17" t="s">
        <v>557</v>
      </c>
      <c r="B106" s="115">
        <v>86.79</v>
      </c>
      <c r="C106" s="18" t="s">
        <v>8</v>
      </c>
      <c r="D106" s="18" t="s">
        <v>36</v>
      </c>
      <c r="E106" s="17" t="s">
        <v>12</v>
      </c>
      <c r="F106" s="26">
        <v>45820</v>
      </c>
      <c r="G106" s="27" t="s">
        <v>293</v>
      </c>
      <c r="J106"/>
      <c r="K106"/>
    </row>
    <row r="107" spans="1:11" ht="15.75" customHeight="1" x14ac:dyDescent="0.25">
      <c r="A107" s="17" t="s">
        <v>120</v>
      </c>
      <c r="B107" s="115">
        <v>35.28</v>
      </c>
      <c r="C107" s="18" t="s">
        <v>8</v>
      </c>
      <c r="D107" s="18" t="s">
        <v>31</v>
      </c>
      <c r="E107" s="17" t="s">
        <v>12</v>
      </c>
      <c r="F107" s="26">
        <v>45820</v>
      </c>
      <c r="G107" s="27" t="s">
        <v>293</v>
      </c>
      <c r="J107"/>
      <c r="K107"/>
    </row>
    <row r="108" spans="1:11" ht="15.75" customHeight="1" x14ac:dyDescent="0.25">
      <c r="A108" s="17" t="s">
        <v>549</v>
      </c>
      <c r="B108" s="115">
        <v>84.9</v>
      </c>
      <c r="C108" s="18" t="s">
        <v>8</v>
      </c>
      <c r="D108" s="18" t="s">
        <v>11</v>
      </c>
      <c r="E108" s="17" t="s">
        <v>17</v>
      </c>
      <c r="F108" s="26">
        <v>45820</v>
      </c>
      <c r="G108" s="27" t="s">
        <v>293</v>
      </c>
      <c r="J108"/>
      <c r="K108"/>
    </row>
    <row r="109" spans="1:11" ht="15.75" customHeight="1" x14ac:dyDescent="0.25">
      <c r="A109" s="17" t="s">
        <v>550</v>
      </c>
      <c r="B109" s="115">
        <v>9.5</v>
      </c>
      <c r="C109" s="18" t="s">
        <v>8</v>
      </c>
      <c r="D109" s="18" t="s">
        <v>36</v>
      </c>
      <c r="E109" s="17" t="s">
        <v>17</v>
      </c>
      <c r="F109" s="26">
        <v>45820</v>
      </c>
      <c r="G109" s="27" t="s">
        <v>293</v>
      </c>
      <c r="J109"/>
      <c r="K109"/>
    </row>
    <row r="110" spans="1:11" ht="15.75" customHeight="1" x14ac:dyDescent="0.25">
      <c r="A110" s="17" t="s">
        <v>163</v>
      </c>
      <c r="B110" s="115">
        <v>69.900000000000006</v>
      </c>
      <c r="C110" s="18" t="s">
        <v>8</v>
      </c>
      <c r="D110" s="18" t="s">
        <v>22</v>
      </c>
      <c r="E110" s="17" t="s">
        <v>17</v>
      </c>
      <c r="F110" s="26">
        <v>45821</v>
      </c>
      <c r="G110" s="27" t="s">
        <v>293</v>
      </c>
      <c r="J110"/>
      <c r="K110"/>
    </row>
    <row r="111" spans="1:11" ht="15.75" customHeight="1" x14ac:dyDescent="0.25">
      <c r="A111" s="17" t="s">
        <v>558</v>
      </c>
      <c r="B111" s="115">
        <v>26</v>
      </c>
      <c r="C111" s="18" t="s">
        <v>8</v>
      </c>
      <c r="D111" s="18" t="s">
        <v>31</v>
      </c>
      <c r="E111" s="17" t="s">
        <v>12</v>
      </c>
      <c r="F111" s="26">
        <v>45821</v>
      </c>
      <c r="G111" s="27" t="s">
        <v>293</v>
      </c>
      <c r="J111"/>
      <c r="K111"/>
    </row>
    <row r="112" spans="1:11" ht="15.75" customHeight="1" x14ac:dyDescent="0.25">
      <c r="A112" s="17" t="s">
        <v>559</v>
      </c>
      <c r="B112" s="115">
        <v>25.95</v>
      </c>
      <c r="C112" s="18" t="s">
        <v>8</v>
      </c>
      <c r="D112" s="18" t="s">
        <v>31</v>
      </c>
      <c r="E112" s="17" t="s">
        <v>12</v>
      </c>
      <c r="F112" s="26">
        <v>45821</v>
      </c>
      <c r="G112" s="27" t="s">
        <v>293</v>
      </c>
      <c r="J112"/>
      <c r="K112"/>
    </row>
    <row r="113" spans="1:11" ht="15.75" customHeight="1" x14ac:dyDescent="0.25">
      <c r="A113" s="17" t="s">
        <v>560</v>
      </c>
      <c r="B113" s="115">
        <v>10</v>
      </c>
      <c r="C113" s="18" t="s">
        <v>8</v>
      </c>
      <c r="D113" s="18" t="s">
        <v>36</v>
      </c>
      <c r="E113" s="17" t="s">
        <v>12</v>
      </c>
      <c r="F113" s="26">
        <v>45821</v>
      </c>
      <c r="G113" s="27" t="s">
        <v>293</v>
      </c>
      <c r="J113"/>
      <c r="K113"/>
    </row>
    <row r="114" spans="1:11" ht="15.75" customHeight="1" x14ac:dyDescent="0.25">
      <c r="A114" s="17" t="s">
        <v>561</v>
      </c>
      <c r="B114" s="115">
        <v>12.5</v>
      </c>
      <c r="C114" s="18" t="s">
        <v>8</v>
      </c>
      <c r="D114" s="18" t="s">
        <v>36</v>
      </c>
      <c r="E114" s="17" t="s">
        <v>12</v>
      </c>
      <c r="F114" s="26">
        <v>45821</v>
      </c>
      <c r="G114" s="27" t="s">
        <v>293</v>
      </c>
      <c r="J114"/>
      <c r="K114"/>
    </row>
    <row r="115" spans="1:11" ht="15.75" customHeight="1" x14ac:dyDescent="0.25">
      <c r="A115" s="17" t="s">
        <v>562</v>
      </c>
      <c r="B115" s="115">
        <v>26.9</v>
      </c>
      <c r="C115" s="18" t="s">
        <v>8</v>
      </c>
      <c r="D115" s="18" t="s">
        <v>20</v>
      </c>
      <c r="E115" s="17" t="s">
        <v>12</v>
      </c>
      <c r="F115" s="26">
        <v>45822</v>
      </c>
      <c r="G115" s="27" t="s">
        <v>293</v>
      </c>
      <c r="J115"/>
      <c r="K115"/>
    </row>
    <row r="116" spans="1:11" ht="15.75" customHeight="1" x14ac:dyDescent="0.25">
      <c r="A116" s="17" t="s">
        <v>551</v>
      </c>
      <c r="B116" s="115">
        <v>300</v>
      </c>
      <c r="C116" s="18" t="s">
        <v>8</v>
      </c>
      <c r="D116" s="18" t="s">
        <v>11</v>
      </c>
      <c r="E116" s="17" t="s">
        <v>17</v>
      </c>
      <c r="F116" s="26">
        <v>45822</v>
      </c>
      <c r="G116" s="27" t="s">
        <v>293</v>
      </c>
      <c r="J116"/>
      <c r="K116"/>
    </row>
    <row r="117" spans="1:11" ht="15.75" customHeight="1" x14ac:dyDescent="0.25">
      <c r="A117" s="17" t="s">
        <v>552</v>
      </c>
      <c r="B117" s="115">
        <v>30</v>
      </c>
      <c r="C117" s="18" t="s">
        <v>8</v>
      </c>
      <c r="D117" s="18" t="s">
        <v>26</v>
      </c>
      <c r="E117" s="17" t="s">
        <v>17</v>
      </c>
      <c r="F117" s="26">
        <v>45822</v>
      </c>
      <c r="G117" s="27" t="s">
        <v>293</v>
      </c>
      <c r="J117"/>
      <c r="K117"/>
    </row>
    <row r="118" spans="1:11" ht="15.75" customHeight="1" x14ac:dyDescent="0.25">
      <c r="A118" s="17" t="s">
        <v>553</v>
      </c>
      <c r="B118" s="115">
        <v>124.9</v>
      </c>
      <c r="C118" s="18" t="s">
        <v>8</v>
      </c>
      <c r="D118" s="18" t="s">
        <v>11</v>
      </c>
      <c r="E118" s="17" t="s">
        <v>17</v>
      </c>
      <c r="F118" s="26">
        <v>45822</v>
      </c>
      <c r="G118" s="27" t="s">
        <v>293</v>
      </c>
      <c r="J118"/>
      <c r="K118"/>
    </row>
    <row r="119" spans="1:11" ht="15.75" customHeight="1" x14ac:dyDescent="0.25">
      <c r="A119" s="17" t="s">
        <v>468</v>
      </c>
      <c r="B119" s="115">
        <v>5.95</v>
      </c>
      <c r="C119" s="18" t="s">
        <v>8</v>
      </c>
      <c r="D119" s="18" t="s">
        <v>36</v>
      </c>
      <c r="E119" s="17" t="s">
        <v>17</v>
      </c>
      <c r="F119" s="26">
        <v>45823</v>
      </c>
      <c r="G119" s="27" t="s">
        <v>293</v>
      </c>
      <c r="J119"/>
      <c r="K119"/>
    </row>
    <row r="120" spans="1:11" ht="15.75" customHeight="1" x14ac:dyDescent="0.25">
      <c r="A120" s="17" t="s">
        <v>554</v>
      </c>
      <c r="B120" s="115">
        <v>138.91499999999999</v>
      </c>
      <c r="C120" s="18" t="s">
        <v>8</v>
      </c>
      <c r="D120" s="18" t="s">
        <v>517</v>
      </c>
      <c r="E120" s="17" t="s">
        <v>17</v>
      </c>
      <c r="F120" s="26">
        <v>45823</v>
      </c>
      <c r="G120" s="27" t="s">
        <v>386</v>
      </c>
      <c r="J120"/>
      <c r="K120"/>
    </row>
    <row r="121" spans="1:11" ht="15.75" customHeight="1" x14ac:dyDescent="0.25">
      <c r="A121" s="17" t="s">
        <v>555</v>
      </c>
      <c r="B121" s="115">
        <v>151.80333333333334</v>
      </c>
      <c r="C121" s="18" t="s">
        <v>8</v>
      </c>
      <c r="D121" s="18" t="s">
        <v>517</v>
      </c>
      <c r="E121" s="17" t="s">
        <v>17</v>
      </c>
      <c r="F121" s="26">
        <v>45823</v>
      </c>
      <c r="G121" s="27" t="s">
        <v>386</v>
      </c>
      <c r="J121"/>
      <c r="K121"/>
    </row>
    <row r="122" spans="1:11" ht="15.75" customHeight="1" x14ac:dyDescent="0.25">
      <c r="A122" s="17" t="s">
        <v>459</v>
      </c>
      <c r="B122" s="115">
        <v>22</v>
      </c>
      <c r="C122" s="18" t="s">
        <v>8</v>
      </c>
      <c r="D122" s="18" t="s">
        <v>36</v>
      </c>
      <c r="E122" s="17" t="s">
        <v>12</v>
      </c>
      <c r="F122" s="26">
        <v>45823</v>
      </c>
      <c r="G122" s="27" t="s">
        <v>293</v>
      </c>
      <c r="J122"/>
      <c r="K122"/>
    </row>
    <row r="123" spans="1:11" ht="15.75" customHeight="1" x14ac:dyDescent="0.25">
      <c r="A123" s="17" t="s">
        <v>563</v>
      </c>
      <c r="B123" s="115">
        <v>84.286666666666676</v>
      </c>
      <c r="C123" s="18" t="s">
        <v>8</v>
      </c>
      <c r="D123" s="18" t="s">
        <v>22</v>
      </c>
      <c r="E123" s="17" t="s">
        <v>12</v>
      </c>
      <c r="F123" s="26">
        <v>45823</v>
      </c>
      <c r="G123" s="27" t="s">
        <v>303</v>
      </c>
      <c r="J123"/>
      <c r="K123"/>
    </row>
    <row r="124" spans="1:11" ht="15.75" customHeight="1" x14ac:dyDescent="0.25">
      <c r="A124" s="17" t="s">
        <v>120</v>
      </c>
      <c r="B124" s="115">
        <v>30.09</v>
      </c>
      <c r="C124" s="18" t="s">
        <v>8</v>
      </c>
      <c r="D124" s="18" t="s">
        <v>31</v>
      </c>
      <c r="E124" s="17" t="s">
        <v>17</v>
      </c>
      <c r="F124" s="26">
        <v>45824</v>
      </c>
      <c r="G124" s="27" t="s">
        <v>293</v>
      </c>
      <c r="J124"/>
      <c r="K124"/>
    </row>
    <row r="125" spans="1:11" ht="15.75" customHeight="1" x14ac:dyDescent="0.25">
      <c r="A125" s="17" t="s">
        <v>120</v>
      </c>
      <c r="B125" s="115">
        <v>23.59</v>
      </c>
      <c r="C125" s="18" t="s">
        <v>8</v>
      </c>
      <c r="D125" s="18" t="s">
        <v>31</v>
      </c>
      <c r="E125" s="17" t="s">
        <v>12</v>
      </c>
      <c r="F125" s="26">
        <v>45824</v>
      </c>
      <c r="G125" s="27" t="s">
        <v>293</v>
      </c>
      <c r="J125"/>
      <c r="K125"/>
    </row>
    <row r="126" spans="1:11" ht="15.75" customHeight="1" x14ac:dyDescent="0.25">
      <c r="A126" s="17" t="s">
        <v>564</v>
      </c>
      <c r="B126" s="120">
        <v>11.417142857142858</v>
      </c>
      <c r="C126" s="18" t="s">
        <v>8</v>
      </c>
      <c r="D126" s="18" t="s">
        <v>11</v>
      </c>
      <c r="E126" s="17" t="s">
        <v>12</v>
      </c>
      <c r="F126" s="26">
        <v>45824</v>
      </c>
      <c r="G126" s="27" t="s">
        <v>519</v>
      </c>
      <c r="J126"/>
      <c r="K126"/>
    </row>
    <row r="127" spans="1:11" ht="15.75" customHeight="1" x14ac:dyDescent="0.25">
      <c r="A127" s="17" t="s">
        <v>565</v>
      </c>
      <c r="B127" s="120">
        <v>34</v>
      </c>
      <c r="C127" s="18" t="s">
        <v>8</v>
      </c>
      <c r="D127" s="18" t="s">
        <v>36</v>
      </c>
      <c r="E127" s="17" t="s">
        <v>12</v>
      </c>
      <c r="F127" s="26">
        <v>45824</v>
      </c>
      <c r="G127" s="27" t="s">
        <v>293</v>
      </c>
      <c r="J127"/>
      <c r="K127"/>
    </row>
    <row r="128" spans="1:11" ht="15.75" customHeight="1" x14ac:dyDescent="0.25">
      <c r="A128" s="17" t="s">
        <v>576</v>
      </c>
      <c r="B128" s="120">
        <v>6.7</v>
      </c>
      <c r="C128" s="18" t="s">
        <v>8</v>
      </c>
      <c r="D128" s="18" t="s">
        <v>14</v>
      </c>
      <c r="E128" s="17" t="s">
        <v>17</v>
      </c>
      <c r="F128" s="26">
        <v>45824</v>
      </c>
      <c r="G128" s="27" t="s">
        <v>293</v>
      </c>
      <c r="J128"/>
      <c r="K128"/>
    </row>
    <row r="129" spans="1:11" ht="15.75" customHeight="1" x14ac:dyDescent="0.25">
      <c r="A129" s="17" t="s">
        <v>43</v>
      </c>
      <c r="B129" s="120">
        <v>259.81</v>
      </c>
      <c r="C129" s="18" t="s">
        <v>8</v>
      </c>
      <c r="D129" s="18" t="s">
        <v>118</v>
      </c>
      <c r="E129" s="17" t="s">
        <v>12</v>
      </c>
      <c r="F129" s="26">
        <v>45825</v>
      </c>
      <c r="G129" s="27" t="s">
        <v>293</v>
      </c>
      <c r="J129"/>
      <c r="K129"/>
    </row>
    <row r="130" spans="1:11" ht="15.75" customHeight="1" x14ac:dyDescent="0.25">
      <c r="A130" s="17" t="s">
        <v>566</v>
      </c>
      <c r="B130" s="120">
        <v>68.373333333333335</v>
      </c>
      <c r="C130" s="18" t="s">
        <v>8</v>
      </c>
      <c r="D130" s="18" t="s">
        <v>517</v>
      </c>
      <c r="E130" s="17" t="s">
        <v>12</v>
      </c>
      <c r="F130" s="26">
        <v>45825</v>
      </c>
      <c r="G130" s="27" t="s">
        <v>303</v>
      </c>
      <c r="J130"/>
      <c r="K130"/>
    </row>
    <row r="131" spans="1:11" ht="15.75" customHeight="1" x14ac:dyDescent="0.25">
      <c r="A131" s="17" t="s">
        <v>567</v>
      </c>
      <c r="B131" s="120">
        <v>98.1</v>
      </c>
      <c r="C131" s="18" t="s">
        <v>8</v>
      </c>
      <c r="D131" s="18" t="s">
        <v>14</v>
      </c>
      <c r="E131" s="17" t="s">
        <v>12</v>
      </c>
      <c r="F131" s="26">
        <v>45825</v>
      </c>
      <c r="G131" s="27" t="s">
        <v>293</v>
      </c>
      <c r="J131"/>
      <c r="K131"/>
    </row>
    <row r="132" spans="1:11" ht="15.75" customHeight="1" x14ac:dyDescent="0.25">
      <c r="A132" s="17" t="s">
        <v>568</v>
      </c>
      <c r="B132" s="120">
        <v>69.7</v>
      </c>
      <c r="C132" s="18" t="s">
        <v>8</v>
      </c>
      <c r="D132" s="18" t="s">
        <v>36</v>
      </c>
      <c r="E132" s="17" t="s">
        <v>12</v>
      </c>
      <c r="F132" s="26">
        <v>45825</v>
      </c>
      <c r="G132" s="27" t="s">
        <v>293</v>
      </c>
      <c r="J132"/>
      <c r="K132"/>
    </row>
    <row r="133" spans="1:11" ht="15.75" customHeight="1" x14ac:dyDescent="0.25">
      <c r="A133" s="17" t="s">
        <v>43</v>
      </c>
      <c r="B133" s="120">
        <v>286.02999999999997</v>
      </c>
      <c r="C133" s="18" t="s">
        <v>8</v>
      </c>
      <c r="D133" s="18" t="s">
        <v>118</v>
      </c>
      <c r="E133" s="17" t="s">
        <v>12</v>
      </c>
      <c r="F133" s="26">
        <v>45825</v>
      </c>
      <c r="G133" s="27" t="s">
        <v>293</v>
      </c>
      <c r="J133"/>
      <c r="K133"/>
    </row>
    <row r="134" spans="1:11" ht="15.75" customHeight="1" x14ac:dyDescent="0.25">
      <c r="A134" s="17" t="s">
        <v>430</v>
      </c>
      <c r="B134" s="120">
        <v>50</v>
      </c>
      <c r="C134" s="18" t="s">
        <v>8</v>
      </c>
      <c r="D134" s="18" t="s">
        <v>118</v>
      </c>
      <c r="E134" s="17" t="s">
        <v>17</v>
      </c>
      <c r="F134" s="26">
        <v>45825</v>
      </c>
      <c r="G134" s="27" t="s">
        <v>293</v>
      </c>
      <c r="J134"/>
      <c r="K134"/>
    </row>
    <row r="135" spans="1:11" ht="15.75" customHeight="1" x14ac:dyDescent="0.25">
      <c r="A135" s="17" t="s">
        <v>577</v>
      </c>
      <c r="B135" s="120">
        <v>48</v>
      </c>
      <c r="C135" s="18" t="s">
        <v>8</v>
      </c>
      <c r="D135" s="18" t="s">
        <v>36</v>
      </c>
      <c r="E135" s="17" t="s">
        <v>12</v>
      </c>
      <c r="F135" s="26">
        <v>45825</v>
      </c>
      <c r="G135" s="27" t="s">
        <v>293</v>
      </c>
      <c r="J135"/>
      <c r="K135"/>
    </row>
    <row r="136" spans="1:11" ht="15.75" customHeight="1" x14ac:dyDescent="0.25">
      <c r="A136" s="17" t="s">
        <v>578</v>
      </c>
      <c r="B136" s="120">
        <v>273.45999999999998</v>
      </c>
      <c r="C136" s="18" t="s">
        <v>8</v>
      </c>
      <c r="D136" s="18" t="s">
        <v>517</v>
      </c>
      <c r="E136" s="17" t="s">
        <v>12</v>
      </c>
      <c r="F136" s="26">
        <v>45825</v>
      </c>
      <c r="G136" s="27" t="s">
        <v>293</v>
      </c>
      <c r="J136"/>
      <c r="K136"/>
    </row>
    <row r="137" spans="1:11" ht="15.75" customHeight="1" x14ac:dyDescent="0.25">
      <c r="A137" s="17" t="s">
        <v>569</v>
      </c>
      <c r="B137" s="120">
        <v>20.663333333333334</v>
      </c>
      <c r="C137" s="18" t="s">
        <v>8</v>
      </c>
      <c r="D137" s="18" t="s">
        <v>22</v>
      </c>
      <c r="E137" s="17" t="s">
        <v>12</v>
      </c>
      <c r="F137" s="26">
        <v>45827</v>
      </c>
      <c r="G137" s="27" t="s">
        <v>303</v>
      </c>
      <c r="J137"/>
      <c r="K137"/>
    </row>
    <row r="138" spans="1:11" ht="15.75" customHeight="1" x14ac:dyDescent="0.25">
      <c r="A138" s="17" t="s">
        <v>570</v>
      </c>
      <c r="B138" s="120">
        <v>238.87</v>
      </c>
      <c r="C138" s="18" t="s">
        <v>8</v>
      </c>
      <c r="D138" s="18" t="s">
        <v>517</v>
      </c>
      <c r="E138" s="17" t="s">
        <v>12</v>
      </c>
      <c r="F138" s="26">
        <v>45827</v>
      </c>
      <c r="G138" s="27" t="s">
        <v>293</v>
      </c>
      <c r="J138"/>
      <c r="K138"/>
    </row>
    <row r="139" spans="1:11" ht="15.75" customHeight="1" x14ac:dyDescent="0.25">
      <c r="A139" s="17" t="s">
        <v>571</v>
      </c>
      <c r="B139" s="120">
        <v>79.900000000000006</v>
      </c>
      <c r="C139" s="18" t="s">
        <v>8</v>
      </c>
      <c r="D139" s="18" t="s">
        <v>22</v>
      </c>
      <c r="E139" s="17" t="s">
        <v>12</v>
      </c>
      <c r="F139" s="26">
        <v>45829</v>
      </c>
      <c r="G139" s="27" t="s">
        <v>293</v>
      </c>
      <c r="J139"/>
      <c r="K139"/>
    </row>
    <row r="140" spans="1:11" ht="15.75" customHeight="1" x14ac:dyDescent="0.25">
      <c r="A140" s="17" t="s">
        <v>575</v>
      </c>
      <c r="B140" s="120">
        <v>70</v>
      </c>
      <c r="C140" s="18" t="s">
        <v>8</v>
      </c>
      <c r="D140" s="18" t="s">
        <v>14</v>
      </c>
      <c r="E140" s="17" t="s">
        <v>12</v>
      </c>
      <c r="F140" s="26">
        <v>45829</v>
      </c>
      <c r="G140" s="27" t="s">
        <v>293</v>
      </c>
      <c r="J140"/>
      <c r="K140"/>
    </row>
    <row r="141" spans="1:11" ht="15.75" customHeight="1" x14ac:dyDescent="0.25">
      <c r="A141" s="17" t="s">
        <v>552</v>
      </c>
      <c r="B141" s="120">
        <v>40</v>
      </c>
      <c r="C141" s="18" t="s">
        <v>8</v>
      </c>
      <c r="D141" s="18" t="s">
        <v>26</v>
      </c>
      <c r="E141" s="17" t="s">
        <v>17</v>
      </c>
      <c r="F141" s="26">
        <v>45829</v>
      </c>
      <c r="G141" s="27" t="s">
        <v>293</v>
      </c>
      <c r="J141"/>
      <c r="K141"/>
    </row>
    <row r="142" spans="1:11" ht="15.75" customHeight="1" x14ac:dyDescent="0.25">
      <c r="A142" s="17" t="s">
        <v>579</v>
      </c>
      <c r="B142" s="120">
        <v>40</v>
      </c>
      <c r="C142" s="18" t="s">
        <v>8</v>
      </c>
      <c r="D142" s="18" t="s">
        <v>36</v>
      </c>
      <c r="E142" s="17" t="s">
        <v>12</v>
      </c>
      <c r="F142" s="26">
        <v>45829</v>
      </c>
      <c r="G142" s="27" t="s">
        <v>293</v>
      </c>
      <c r="J142"/>
      <c r="K142"/>
    </row>
    <row r="143" spans="1:11" ht="15.75" customHeight="1" x14ac:dyDescent="0.25">
      <c r="A143" s="17" t="s">
        <v>43</v>
      </c>
      <c r="B143" s="120">
        <v>67.73</v>
      </c>
      <c r="C143" s="18" t="s">
        <v>8</v>
      </c>
      <c r="D143" s="18" t="s">
        <v>118</v>
      </c>
      <c r="E143" s="17" t="s">
        <v>12</v>
      </c>
      <c r="F143" s="26">
        <v>45830</v>
      </c>
      <c r="G143" s="27" t="s">
        <v>293</v>
      </c>
      <c r="J143"/>
      <c r="K143"/>
    </row>
    <row r="144" spans="1:11" ht="15.75" customHeight="1" x14ac:dyDescent="0.25">
      <c r="A144" s="17" t="s">
        <v>561</v>
      </c>
      <c r="B144" s="120">
        <v>23</v>
      </c>
      <c r="C144" s="18" t="s">
        <v>8</v>
      </c>
      <c r="D144" s="18" t="s">
        <v>36</v>
      </c>
      <c r="E144" s="17" t="s">
        <v>12</v>
      </c>
      <c r="F144" s="26">
        <v>45830</v>
      </c>
      <c r="G144" s="27" t="s">
        <v>293</v>
      </c>
      <c r="J144"/>
      <c r="K144"/>
    </row>
    <row r="145" spans="1:11" ht="15.75" customHeight="1" x14ac:dyDescent="0.25">
      <c r="A145" s="17" t="s">
        <v>430</v>
      </c>
      <c r="B145" s="120">
        <v>100</v>
      </c>
      <c r="C145" s="18" t="s">
        <v>8</v>
      </c>
      <c r="D145" s="18" t="s">
        <v>118</v>
      </c>
      <c r="E145" s="17" t="s">
        <v>17</v>
      </c>
      <c r="F145" s="26">
        <v>45830</v>
      </c>
      <c r="G145" s="27" t="s">
        <v>293</v>
      </c>
      <c r="J145"/>
      <c r="K145"/>
    </row>
    <row r="146" spans="1:11" ht="15.75" customHeight="1" x14ac:dyDescent="0.25">
      <c r="A146" s="17" t="s">
        <v>580</v>
      </c>
      <c r="B146" s="120">
        <v>35</v>
      </c>
      <c r="C146" s="18" t="s">
        <v>8</v>
      </c>
      <c r="D146" s="18" t="s">
        <v>63</v>
      </c>
      <c r="E146" s="17" t="s">
        <v>12</v>
      </c>
      <c r="F146" s="26">
        <v>45830</v>
      </c>
      <c r="G146" s="27" t="s">
        <v>293</v>
      </c>
      <c r="J146"/>
      <c r="K146"/>
    </row>
    <row r="147" spans="1:11" ht="15.75" customHeight="1" x14ac:dyDescent="0.25">
      <c r="A147" s="17" t="s">
        <v>572</v>
      </c>
      <c r="B147" s="120">
        <v>22.349999999999998</v>
      </c>
      <c r="C147" s="18" t="s">
        <v>8</v>
      </c>
      <c r="D147" s="18" t="s">
        <v>61</v>
      </c>
      <c r="E147" s="17" t="s">
        <v>12</v>
      </c>
      <c r="F147" s="26">
        <v>45831</v>
      </c>
      <c r="G147" s="27" t="s">
        <v>294</v>
      </c>
      <c r="J147"/>
      <c r="K147"/>
    </row>
    <row r="148" spans="1:11" ht="15.75" customHeight="1" x14ac:dyDescent="0.25">
      <c r="A148" s="17" t="s">
        <v>573</v>
      </c>
      <c r="B148" s="120">
        <v>54.256250000000001</v>
      </c>
      <c r="C148" s="18" t="s">
        <v>8</v>
      </c>
      <c r="D148" s="18" t="s">
        <v>11</v>
      </c>
      <c r="E148" s="17" t="s">
        <v>12</v>
      </c>
      <c r="F148" s="26">
        <v>45831</v>
      </c>
      <c r="G148" s="27" t="s">
        <v>419</v>
      </c>
      <c r="J148"/>
      <c r="K148"/>
    </row>
    <row r="149" spans="1:11" ht="15.75" customHeight="1" x14ac:dyDescent="0.25">
      <c r="A149" s="17" t="s">
        <v>574</v>
      </c>
      <c r="B149" s="120">
        <v>27.803333333333331</v>
      </c>
      <c r="C149" s="18" t="s">
        <v>8</v>
      </c>
      <c r="D149" s="18" t="s">
        <v>14</v>
      </c>
      <c r="E149" s="17" t="s">
        <v>12</v>
      </c>
      <c r="F149" s="26">
        <v>45831</v>
      </c>
      <c r="G149" s="27" t="s">
        <v>386</v>
      </c>
      <c r="J149"/>
      <c r="K149"/>
    </row>
    <row r="150" spans="1:11" ht="15.75" customHeight="1" x14ac:dyDescent="0.25">
      <c r="A150" s="17" t="s">
        <v>581</v>
      </c>
      <c r="B150" s="122">
        <v>39.123333333333335</v>
      </c>
      <c r="C150" s="18" t="s">
        <v>8</v>
      </c>
      <c r="D150" s="18" t="s">
        <v>517</v>
      </c>
      <c r="E150" s="17" t="s">
        <v>12</v>
      </c>
      <c r="F150" s="26">
        <v>45831</v>
      </c>
      <c r="G150" s="27" t="s">
        <v>303</v>
      </c>
      <c r="J150"/>
      <c r="K150"/>
    </row>
    <row r="151" spans="1:11" ht="15.75" customHeight="1" x14ac:dyDescent="0.25">
      <c r="A151" s="17" t="s">
        <v>43</v>
      </c>
      <c r="B151" s="122">
        <v>175.54</v>
      </c>
      <c r="C151" s="18" t="s">
        <v>8</v>
      </c>
      <c r="D151" s="18" t="s">
        <v>31</v>
      </c>
      <c r="E151" s="17" t="s">
        <v>12</v>
      </c>
      <c r="F151" s="26">
        <v>45831</v>
      </c>
      <c r="G151" s="27" t="s">
        <v>293</v>
      </c>
      <c r="J151"/>
      <c r="K151"/>
    </row>
    <row r="152" spans="1:11" ht="15.75" customHeight="1" x14ac:dyDescent="0.25">
      <c r="A152" s="17" t="s">
        <v>582</v>
      </c>
      <c r="B152" s="122">
        <v>62.44</v>
      </c>
      <c r="C152" s="18" t="s">
        <v>8</v>
      </c>
      <c r="D152" s="18" t="s">
        <v>11</v>
      </c>
      <c r="E152" s="17" t="s">
        <v>12</v>
      </c>
      <c r="F152" s="26">
        <v>45831</v>
      </c>
      <c r="G152" s="27" t="s">
        <v>293</v>
      </c>
      <c r="J152"/>
      <c r="K152"/>
    </row>
    <row r="153" spans="1:11" ht="15.75" customHeight="1" x14ac:dyDescent="0.25">
      <c r="A153" s="17" t="s">
        <v>496</v>
      </c>
      <c r="B153" s="122">
        <v>39.9</v>
      </c>
      <c r="C153" s="18" t="s">
        <v>8</v>
      </c>
      <c r="D153" s="18" t="s">
        <v>117</v>
      </c>
      <c r="E153" s="17" t="s">
        <v>17</v>
      </c>
      <c r="F153" s="26">
        <v>45831</v>
      </c>
      <c r="G153" s="27" t="s">
        <v>293</v>
      </c>
      <c r="J153"/>
      <c r="K153"/>
    </row>
    <row r="154" spans="1:11" ht="15.75" customHeight="1" x14ac:dyDescent="0.25">
      <c r="A154" s="17" t="s">
        <v>583</v>
      </c>
      <c r="B154" s="122">
        <v>28.24</v>
      </c>
      <c r="C154" s="18" t="s">
        <v>8</v>
      </c>
      <c r="D154" s="18" t="s">
        <v>22</v>
      </c>
      <c r="E154" s="17" t="s">
        <v>12</v>
      </c>
      <c r="F154" s="26">
        <v>45832</v>
      </c>
      <c r="G154" s="27" t="s">
        <v>293</v>
      </c>
      <c r="J154"/>
      <c r="K154"/>
    </row>
    <row r="155" spans="1:11" ht="15.75" customHeight="1" x14ac:dyDescent="0.25">
      <c r="A155" s="17" t="s">
        <v>584</v>
      </c>
      <c r="B155" s="122">
        <v>222.29999999999998</v>
      </c>
      <c r="C155" s="18" t="s">
        <v>8</v>
      </c>
      <c r="D155" s="18" t="s">
        <v>22</v>
      </c>
      <c r="E155" s="17" t="s">
        <v>12</v>
      </c>
      <c r="F155" s="26">
        <v>45832</v>
      </c>
      <c r="G155" s="27" t="s">
        <v>303</v>
      </c>
      <c r="J155"/>
      <c r="K155"/>
    </row>
    <row r="156" spans="1:11" ht="15.75" customHeight="1" x14ac:dyDescent="0.25">
      <c r="A156" s="17" t="s">
        <v>585</v>
      </c>
      <c r="B156" s="122">
        <v>55.875</v>
      </c>
      <c r="C156" s="18" t="s">
        <v>8</v>
      </c>
      <c r="D156" s="18" t="s">
        <v>22</v>
      </c>
      <c r="E156" s="17" t="s">
        <v>12</v>
      </c>
      <c r="F156" s="26">
        <v>45832</v>
      </c>
      <c r="G156" s="27" t="s">
        <v>419</v>
      </c>
      <c r="J156"/>
      <c r="K156"/>
    </row>
    <row r="157" spans="1:11" ht="15.75" customHeight="1" x14ac:dyDescent="0.25">
      <c r="A157" s="17" t="s">
        <v>544</v>
      </c>
      <c r="B157" s="122">
        <v>36.313333333333333</v>
      </c>
      <c r="C157" s="18" t="s">
        <v>8</v>
      </c>
      <c r="D157" s="18" t="s">
        <v>11</v>
      </c>
      <c r="E157" s="17" t="s">
        <v>12</v>
      </c>
      <c r="F157" s="26">
        <v>45832</v>
      </c>
      <c r="G157" s="27" t="s">
        <v>386</v>
      </c>
      <c r="J157"/>
      <c r="K157"/>
    </row>
    <row r="158" spans="1:11" ht="15.75" customHeight="1" x14ac:dyDescent="0.25">
      <c r="A158" s="17" t="s">
        <v>586</v>
      </c>
      <c r="B158" s="122">
        <v>68</v>
      </c>
      <c r="C158" s="18" t="s">
        <v>8</v>
      </c>
      <c r="D158" s="18" t="s">
        <v>22</v>
      </c>
      <c r="E158" s="17" t="s">
        <v>12</v>
      </c>
      <c r="F158" s="26">
        <v>45832</v>
      </c>
      <c r="G158" s="27" t="s">
        <v>386</v>
      </c>
      <c r="J158"/>
      <c r="K158"/>
    </row>
    <row r="159" spans="1:11" ht="15.75" customHeight="1" x14ac:dyDescent="0.25">
      <c r="A159" s="17" t="s">
        <v>587</v>
      </c>
      <c r="B159" s="122">
        <v>32.71</v>
      </c>
      <c r="C159" s="18" t="s">
        <v>8</v>
      </c>
      <c r="D159" s="18" t="s">
        <v>22</v>
      </c>
      <c r="E159" s="17" t="s">
        <v>12</v>
      </c>
      <c r="F159" s="26">
        <v>45832</v>
      </c>
      <c r="G159" s="27" t="s">
        <v>293</v>
      </c>
      <c r="J159"/>
      <c r="K159"/>
    </row>
    <row r="160" spans="1:11" ht="15.75" customHeight="1" x14ac:dyDescent="0.25">
      <c r="A160" s="17" t="s">
        <v>588</v>
      </c>
      <c r="B160" s="122">
        <v>71.78</v>
      </c>
      <c r="C160" s="18" t="s">
        <v>8</v>
      </c>
      <c r="D160" s="18" t="s">
        <v>11</v>
      </c>
      <c r="E160" s="17" t="s">
        <v>12</v>
      </c>
      <c r="F160" s="26">
        <v>45832</v>
      </c>
      <c r="G160" s="27" t="s">
        <v>293</v>
      </c>
      <c r="J160"/>
      <c r="K160"/>
    </row>
    <row r="161" spans="1:11" ht="15.75" customHeight="1" x14ac:dyDescent="0.25">
      <c r="A161" s="17" t="s">
        <v>529</v>
      </c>
      <c r="B161" s="122">
        <v>50.08</v>
      </c>
      <c r="C161" s="18" t="s">
        <v>8</v>
      </c>
      <c r="D161" s="18" t="s">
        <v>14</v>
      </c>
      <c r="E161" s="17" t="s">
        <v>17</v>
      </c>
      <c r="F161" s="26">
        <v>45832</v>
      </c>
      <c r="G161" s="27" t="s">
        <v>293</v>
      </c>
      <c r="J161"/>
      <c r="K161"/>
    </row>
    <row r="162" spans="1:11" ht="15.75" customHeight="1" x14ac:dyDescent="0.25">
      <c r="A162" s="17" t="s">
        <v>589</v>
      </c>
      <c r="B162" s="122">
        <v>41.9</v>
      </c>
      <c r="C162" s="18" t="s">
        <v>8</v>
      </c>
      <c r="D162" s="18" t="s">
        <v>11</v>
      </c>
      <c r="E162" s="17" t="s">
        <v>12</v>
      </c>
      <c r="F162" s="26">
        <v>45833</v>
      </c>
      <c r="G162" s="27" t="s">
        <v>293</v>
      </c>
      <c r="J162"/>
      <c r="K162"/>
    </row>
    <row r="163" spans="1:11" ht="15.75" customHeight="1" x14ac:dyDescent="0.25">
      <c r="A163" s="17" t="s">
        <v>590</v>
      </c>
      <c r="B163" s="122">
        <v>185.11</v>
      </c>
      <c r="C163" s="18" t="s">
        <v>8</v>
      </c>
      <c r="D163" s="18" t="s">
        <v>517</v>
      </c>
      <c r="E163" s="17" t="s">
        <v>12</v>
      </c>
      <c r="F163" s="26">
        <v>45833</v>
      </c>
      <c r="G163" s="27" t="s">
        <v>397</v>
      </c>
      <c r="J163"/>
      <c r="K163"/>
    </row>
    <row r="164" spans="1:11" ht="15.75" customHeight="1" x14ac:dyDescent="0.25">
      <c r="A164" s="17" t="s">
        <v>590</v>
      </c>
      <c r="B164" s="122">
        <v>216.50333333333333</v>
      </c>
      <c r="C164" s="18" t="s">
        <v>8</v>
      </c>
      <c r="D164" s="18" t="s">
        <v>517</v>
      </c>
      <c r="E164" s="17" t="s">
        <v>12</v>
      </c>
      <c r="F164" s="26">
        <v>45833</v>
      </c>
      <c r="G164" s="27" t="s">
        <v>303</v>
      </c>
      <c r="J164"/>
      <c r="K164"/>
    </row>
    <row r="165" spans="1:11" ht="15.75" customHeight="1" x14ac:dyDescent="0.25">
      <c r="A165" s="17" t="s">
        <v>591</v>
      </c>
      <c r="B165" s="122">
        <v>50</v>
      </c>
      <c r="C165" s="18" t="s">
        <v>8</v>
      </c>
      <c r="D165" s="18" t="s">
        <v>114</v>
      </c>
      <c r="E165" s="17" t="s">
        <v>12</v>
      </c>
      <c r="F165" s="26">
        <v>45834</v>
      </c>
      <c r="G165" s="27" t="s">
        <v>491</v>
      </c>
      <c r="J165"/>
      <c r="K165"/>
    </row>
    <row r="166" spans="1:11" ht="15.75" customHeight="1" x14ac:dyDescent="0.25">
      <c r="A166" s="17" t="s">
        <v>592</v>
      </c>
      <c r="B166" s="122">
        <v>195</v>
      </c>
      <c r="C166" s="18" t="s">
        <v>8</v>
      </c>
      <c r="D166" s="18" t="s">
        <v>114</v>
      </c>
      <c r="E166" s="17" t="s">
        <v>12</v>
      </c>
      <c r="F166" s="26">
        <v>45835</v>
      </c>
      <c r="G166" s="27" t="s">
        <v>397</v>
      </c>
      <c r="J166"/>
      <c r="K166"/>
    </row>
    <row r="167" spans="1:11" ht="15.75" customHeight="1" x14ac:dyDescent="0.25">
      <c r="A167" s="17" t="s">
        <v>593</v>
      </c>
      <c r="B167" s="122">
        <v>300.81</v>
      </c>
      <c r="C167" s="18" t="s">
        <v>8</v>
      </c>
      <c r="D167" s="18" t="s">
        <v>16</v>
      </c>
      <c r="E167" s="17" t="s">
        <v>12</v>
      </c>
      <c r="F167" s="26">
        <v>45835</v>
      </c>
      <c r="G167" s="27" t="s">
        <v>293</v>
      </c>
      <c r="J167"/>
      <c r="K167"/>
    </row>
    <row r="168" spans="1:11" ht="15.75" customHeight="1" x14ac:dyDescent="0.25">
      <c r="A168" s="17" t="s">
        <v>594</v>
      </c>
      <c r="B168" s="122">
        <v>460.23</v>
      </c>
      <c r="C168" s="18" t="s">
        <v>8</v>
      </c>
      <c r="D168" s="18" t="s">
        <v>36</v>
      </c>
      <c r="E168" s="17" t="s">
        <v>12</v>
      </c>
      <c r="F168" s="26">
        <v>45836</v>
      </c>
      <c r="G168" s="27" t="s">
        <v>293</v>
      </c>
      <c r="J168"/>
      <c r="K168"/>
    </row>
    <row r="169" spans="1:11" ht="15.75" customHeight="1" x14ac:dyDescent="0.25">
      <c r="A169" s="17" t="s">
        <v>595</v>
      </c>
      <c r="B169" s="122">
        <v>135.16</v>
      </c>
      <c r="C169" s="18" t="s">
        <v>8</v>
      </c>
      <c r="D169" s="18" t="s">
        <v>14</v>
      </c>
      <c r="E169" s="17" t="s">
        <v>12</v>
      </c>
      <c r="F169" s="26">
        <v>45836</v>
      </c>
      <c r="G169" s="27" t="s">
        <v>293</v>
      </c>
      <c r="J169"/>
      <c r="K169"/>
    </row>
    <row r="170" spans="1:11" ht="15.75" customHeight="1" x14ac:dyDescent="0.25">
      <c r="A170" s="17" t="s">
        <v>593</v>
      </c>
      <c r="B170" s="122">
        <v>43.73</v>
      </c>
      <c r="C170" s="18" t="s">
        <v>8</v>
      </c>
      <c r="D170" s="18" t="s">
        <v>16</v>
      </c>
      <c r="E170" s="17" t="s">
        <v>12</v>
      </c>
      <c r="F170" s="26">
        <v>45836</v>
      </c>
      <c r="G170" s="27" t="s">
        <v>293</v>
      </c>
      <c r="J170"/>
      <c r="K170"/>
    </row>
    <row r="171" spans="1:11" ht="15.75" customHeight="1" x14ac:dyDescent="0.25">
      <c r="A171" s="17" t="s">
        <v>281</v>
      </c>
      <c r="B171" s="122">
        <v>162.9</v>
      </c>
      <c r="C171" s="18" t="s">
        <v>8</v>
      </c>
      <c r="D171" s="18" t="s">
        <v>36</v>
      </c>
      <c r="E171" s="17" t="s">
        <v>12</v>
      </c>
      <c r="F171" s="26">
        <v>45836</v>
      </c>
      <c r="G171" s="27" t="s">
        <v>293</v>
      </c>
      <c r="J171"/>
      <c r="K171"/>
    </row>
    <row r="172" spans="1:11" ht="15.75" customHeight="1" x14ac:dyDescent="0.25">
      <c r="A172" s="17" t="s">
        <v>128</v>
      </c>
      <c r="B172" s="122">
        <v>40</v>
      </c>
      <c r="C172" s="18" t="s">
        <v>8</v>
      </c>
      <c r="D172" s="18" t="s">
        <v>63</v>
      </c>
      <c r="E172" s="17" t="s">
        <v>12</v>
      </c>
      <c r="F172" s="26">
        <v>45837</v>
      </c>
      <c r="G172" s="27" t="s">
        <v>293</v>
      </c>
      <c r="J172"/>
      <c r="K172"/>
    </row>
    <row r="173" spans="1:11" ht="15.75" customHeight="1" x14ac:dyDescent="0.25">
      <c r="A173" s="17" t="s">
        <v>599</v>
      </c>
      <c r="B173" s="122">
        <v>100</v>
      </c>
      <c r="C173" s="18" t="s">
        <v>8</v>
      </c>
      <c r="D173" s="18" t="s">
        <v>16</v>
      </c>
      <c r="E173" s="17" t="s">
        <v>12</v>
      </c>
      <c r="F173" s="26">
        <v>45835</v>
      </c>
      <c r="G173" s="27" t="s">
        <v>293</v>
      </c>
      <c r="J173"/>
      <c r="K173"/>
    </row>
    <row r="174" spans="1:11" ht="15.75" customHeight="1" x14ac:dyDescent="0.25">
      <c r="A174" s="17" t="s">
        <v>533</v>
      </c>
      <c r="B174" s="122">
        <v>1650</v>
      </c>
      <c r="C174" s="18" t="s">
        <v>8</v>
      </c>
      <c r="D174" s="18" t="s">
        <v>22</v>
      </c>
      <c r="E174" s="17" t="s">
        <v>600</v>
      </c>
      <c r="F174" s="26">
        <v>45838</v>
      </c>
      <c r="G174" s="27" t="s">
        <v>293</v>
      </c>
      <c r="J174"/>
      <c r="K174"/>
    </row>
    <row r="175" spans="1:11" ht="15.75" customHeight="1" x14ac:dyDescent="0.25">
      <c r="C175" s="18"/>
      <c r="D175" s="18"/>
      <c r="J175"/>
      <c r="K175"/>
    </row>
    <row r="176" spans="1:11" ht="15.75" customHeight="1" x14ac:dyDescent="0.25">
      <c r="C176" s="18"/>
      <c r="D176" s="18"/>
      <c r="J176"/>
      <c r="K176"/>
    </row>
    <row r="177" spans="3:11" ht="15.75" customHeight="1" x14ac:dyDescent="0.25">
      <c r="C177" s="18"/>
      <c r="D177" s="18"/>
      <c r="J177"/>
      <c r="K177"/>
    </row>
    <row r="178" spans="3:11" ht="15.75" customHeight="1" x14ac:dyDescent="0.25">
      <c r="C178" s="18"/>
      <c r="D178" s="18"/>
    </row>
    <row r="179" spans="3:11" ht="15.75" customHeight="1" x14ac:dyDescent="0.25">
      <c r="C179" s="18"/>
      <c r="D179" s="18"/>
    </row>
    <row r="180" spans="3:11" ht="15.75" customHeight="1" x14ac:dyDescent="0.25">
      <c r="C180" s="18"/>
      <c r="D180" s="18"/>
    </row>
    <row r="181" spans="3:11" ht="15.75" customHeight="1" x14ac:dyDescent="0.25">
      <c r="C181" s="18"/>
      <c r="D181" s="18"/>
    </row>
    <row r="182" spans="3:11" ht="15.75" customHeight="1" x14ac:dyDescent="0.25">
      <c r="C182" s="18"/>
      <c r="D182" s="18"/>
    </row>
    <row r="183" spans="3:11" ht="15.75" customHeight="1" x14ac:dyDescent="0.25">
      <c r="C183" s="18"/>
      <c r="D183" s="18"/>
    </row>
    <row r="184" spans="3:11" ht="15.75" customHeight="1" x14ac:dyDescent="0.25">
      <c r="C184" s="18"/>
      <c r="D184" s="18"/>
    </row>
    <row r="185" spans="3:11" ht="15.75" customHeight="1" x14ac:dyDescent="0.25">
      <c r="C185" s="18"/>
      <c r="D185" s="18"/>
    </row>
    <row r="186" spans="3:11" ht="15.75" customHeight="1" x14ac:dyDescent="0.25">
      <c r="C186" s="18"/>
      <c r="D186" s="18"/>
    </row>
    <row r="187" spans="3:11" ht="15.75" customHeight="1" x14ac:dyDescent="0.25">
      <c r="C187" s="18"/>
      <c r="D187" s="18"/>
    </row>
    <row r="188" spans="3:11" ht="15.75" customHeight="1" x14ac:dyDescent="0.25">
      <c r="C188" s="18"/>
      <c r="D188" s="18"/>
    </row>
    <row r="189" spans="3:11" ht="15.75" customHeight="1" x14ac:dyDescent="0.25">
      <c r="C189" s="18"/>
      <c r="D189" s="18"/>
    </row>
    <row r="190" spans="3:11" ht="15.75" customHeight="1" x14ac:dyDescent="0.25">
      <c r="C190" s="18"/>
      <c r="D190" s="18"/>
    </row>
    <row r="191" spans="3:11" ht="15.75" customHeight="1" x14ac:dyDescent="0.25">
      <c r="C191" s="18"/>
      <c r="D191" s="18"/>
    </row>
    <row r="192" spans="3:11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DE565-ED8E-48AB-B5E8-1AF488CB4965}">
  <sheetPr codeName="Sheet9"/>
  <dimension ref="A1:L996"/>
  <sheetViews>
    <sheetView topLeftCell="A4" zoomScaleNormal="100" workbookViewId="0">
      <selection activeCell="D18" sqref="D18"/>
    </sheetView>
  </sheetViews>
  <sheetFormatPr defaultColWidth="14.42578125" defaultRowHeight="15" customHeight="1" x14ac:dyDescent="0.25"/>
  <cols>
    <col min="1" max="1" width="28.85546875" style="17" bestFit="1" customWidth="1"/>
    <col min="2" max="2" width="9.7109375" style="118" customWidth="1"/>
    <col min="3" max="3" width="12.7109375" style="17" customWidth="1"/>
    <col min="4" max="4" width="16.5703125" style="17" customWidth="1"/>
    <col min="5" max="5" width="9.5703125" style="17" customWidth="1"/>
    <col min="6" max="6" width="14.28515625" style="17" customWidth="1"/>
    <col min="7" max="7" width="10.5703125" style="17" customWidth="1"/>
    <col min="8" max="9" width="8.7109375" style="17" customWidth="1"/>
    <col min="10" max="10" width="19.5703125" style="17" bestFit="1" customWidth="1"/>
    <col min="11" max="11" width="14.85546875" style="17" bestFit="1" customWidth="1"/>
    <col min="12" max="26" width="8.7109375" style="17" customWidth="1"/>
    <col min="27" max="16384" width="14.42578125" style="17"/>
  </cols>
  <sheetData>
    <row r="1" spans="1:12" x14ac:dyDescent="0.25">
      <c r="A1" s="184" t="s">
        <v>0</v>
      </c>
      <c r="B1" s="188">
        <f>SUMIF('07_2025'!$C$5:$C$200,"Expense",'07_2025'!$B$5:$B$200)-SUMIF('07_2025'!$C$5:$C$200,"Income",'07_2025'!$B$5:$B$200)</f>
        <v>-3341.4888571428528</v>
      </c>
    </row>
    <row r="2" spans="1:12" ht="15" customHeight="1" x14ac:dyDescent="0.25">
      <c r="A2" s="186"/>
      <c r="B2" s="189"/>
    </row>
    <row r="3" spans="1:12" x14ac:dyDescent="0.25">
      <c r="F3" s="18">
        <v>12</v>
      </c>
    </row>
    <row r="4" spans="1:12" x14ac:dyDescent="0.25">
      <c r="A4" s="18" t="s">
        <v>1</v>
      </c>
      <c r="B4" s="2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  <c r="J4" s="11" t="s">
        <v>129</v>
      </c>
      <c r="K4" s="76" t="s">
        <v>131</v>
      </c>
      <c r="L4"/>
    </row>
    <row r="5" spans="1:12" x14ac:dyDescent="0.25">
      <c r="A5" s="18" t="s">
        <v>60</v>
      </c>
      <c r="B5" s="3">
        <v>119</v>
      </c>
      <c r="C5" s="18" t="s">
        <v>8</v>
      </c>
      <c r="D5" s="18" t="s">
        <v>61</v>
      </c>
      <c r="E5" s="8" t="s">
        <v>12</v>
      </c>
      <c r="F5" s="5">
        <v>45841</v>
      </c>
      <c r="G5" s="27"/>
      <c r="J5" s="13" t="s">
        <v>70</v>
      </c>
      <c r="K5" s="76">
        <v>5433.1</v>
      </c>
      <c r="L5"/>
    </row>
    <row r="6" spans="1:12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>
        <v>45841</v>
      </c>
      <c r="G6" s="27"/>
      <c r="J6" s="13" t="s">
        <v>20</v>
      </c>
      <c r="K6" s="76">
        <v>232.6</v>
      </c>
      <c r="L6"/>
    </row>
    <row r="7" spans="1:12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>
        <v>45843</v>
      </c>
      <c r="G7" s="27"/>
      <c r="J7" s="13" t="s">
        <v>22</v>
      </c>
      <c r="K7" s="76">
        <v>3345.0518333333334</v>
      </c>
      <c r="L7"/>
    </row>
    <row r="8" spans="1:12" x14ac:dyDescent="0.25">
      <c r="A8" s="18" t="s">
        <v>80</v>
      </c>
      <c r="B8" s="3">
        <v>0</v>
      </c>
      <c r="C8" s="18" t="s">
        <v>8</v>
      </c>
      <c r="D8" s="18" t="s">
        <v>68</v>
      </c>
      <c r="E8" s="8" t="s">
        <v>12</v>
      </c>
      <c r="F8" s="5">
        <v>45850</v>
      </c>
      <c r="G8" s="27"/>
      <c r="J8" s="13" t="s">
        <v>108</v>
      </c>
      <c r="K8" s="76">
        <v>416.14</v>
      </c>
      <c r="L8"/>
    </row>
    <row r="9" spans="1:12" x14ac:dyDescent="0.25">
      <c r="A9" s="18" t="s">
        <v>69</v>
      </c>
      <c r="B9" s="3">
        <v>5000</v>
      </c>
      <c r="C9" s="18" t="s">
        <v>8</v>
      </c>
      <c r="D9" s="18" t="s">
        <v>70</v>
      </c>
      <c r="E9" s="8" t="s">
        <v>12</v>
      </c>
      <c r="F9" s="5">
        <v>45853</v>
      </c>
      <c r="G9" s="27"/>
      <c r="J9" s="13" t="s">
        <v>114</v>
      </c>
      <c r="K9" s="76">
        <v>1659.7466666666667</v>
      </c>
      <c r="L9"/>
    </row>
    <row r="10" spans="1:12" x14ac:dyDescent="0.25">
      <c r="A10" s="18" t="s">
        <v>74</v>
      </c>
      <c r="B10" s="3">
        <v>5710.37</v>
      </c>
      <c r="C10" s="18" t="s">
        <v>72</v>
      </c>
      <c r="D10" s="18" t="s">
        <v>73</v>
      </c>
      <c r="E10" s="8" t="s">
        <v>12</v>
      </c>
      <c r="F10" s="5">
        <v>45853</v>
      </c>
      <c r="G10" s="27"/>
      <c r="J10" s="13" t="s">
        <v>63</v>
      </c>
      <c r="K10" s="76">
        <v>560</v>
      </c>
      <c r="L10"/>
    </row>
    <row r="11" spans="1:12" x14ac:dyDescent="0.25">
      <c r="A11" s="126" t="s">
        <v>411</v>
      </c>
      <c r="B11" s="3">
        <v>113.75</v>
      </c>
      <c r="C11" s="126" t="s">
        <v>8</v>
      </c>
      <c r="D11" s="18" t="s">
        <v>68</v>
      </c>
      <c r="E11" s="8" t="s">
        <v>12</v>
      </c>
      <c r="F11" s="5">
        <v>45854</v>
      </c>
      <c r="G11" s="27"/>
      <c r="J11" s="13" t="s">
        <v>61</v>
      </c>
      <c r="K11" s="76">
        <v>823.84875</v>
      </c>
      <c r="L11"/>
    </row>
    <row r="12" spans="1:12" x14ac:dyDescent="0.25">
      <c r="A12" s="18" t="s">
        <v>75</v>
      </c>
      <c r="B12" s="3">
        <v>60</v>
      </c>
      <c r="C12" s="18" t="s">
        <v>8</v>
      </c>
      <c r="D12" s="18" t="s">
        <v>63</v>
      </c>
      <c r="E12" s="8" t="s">
        <v>12</v>
      </c>
      <c r="F12" s="5">
        <v>45856</v>
      </c>
      <c r="G12" s="27"/>
      <c r="J12" s="13" t="s">
        <v>16</v>
      </c>
      <c r="K12" s="76">
        <v>1650.0383333333332</v>
      </c>
      <c r="L12"/>
    </row>
    <row r="13" spans="1:12" x14ac:dyDescent="0.25">
      <c r="A13" s="18" t="s">
        <v>76</v>
      </c>
      <c r="B13" s="3">
        <v>100</v>
      </c>
      <c r="C13" s="18" t="s">
        <v>8</v>
      </c>
      <c r="D13" s="18" t="s">
        <v>63</v>
      </c>
      <c r="E13" s="8" t="s">
        <v>12</v>
      </c>
      <c r="F13" s="5">
        <v>45863</v>
      </c>
      <c r="G13" s="27"/>
      <c r="J13" s="13" t="s">
        <v>14</v>
      </c>
      <c r="K13" s="76">
        <v>1146.4189999999999</v>
      </c>
      <c r="L13"/>
    </row>
    <row r="14" spans="1:12" x14ac:dyDescent="0.25">
      <c r="A14" s="18" t="s">
        <v>77</v>
      </c>
      <c r="B14" s="3">
        <v>66.900000000000006</v>
      </c>
      <c r="C14" s="18" t="s">
        <v>8</v>
      </c>
      <c r="D14" s="18" t="s">
        <v>20</v>
      </c>
      <c r="E14" s="8" t="s">
        <v>12</v>
      </c>
      <c r="F14" s="5">
        <v>45863</v>
      </c>
      <c r="G14" s="27"/>
      <c r="J14" s="13" t="s">
        <v>73</v>
      </c>
      <c r="K14" s="76">
        <v>26229.79</v>
      </c>
      <c r="L14"/>
    </row>
    <row r="15" spans="1:12" x14ac:dyDescent="0.25">
      <c r="A15" s="18" t="s">
        <v>78</v>
      </c>
      <c r="B15" s="3">
        <v>12.9</v>
      </c>
      <c r="C15" s="18" t="s">
        <v>8</v>
      </c>
      <c r="D15" s="18" t="s">
        <v>20</v>
      </c>
      <c r="E15" s="8" t="s">
        <v>12</v>
      </c>
      <c r="F15" s="5">
        <v>45866</v>
      </c>
      <c r="G15" s="27"/>
      <c r="J15" s="13" t="s">
        <v>68</v>
      </c>
      <c r="K15" s="76">
        <v>741.27</v>
      </c>
      <c r="L15"/>
    </row>
    <row r="16" spans="1:12" x14ac:dyDescent="0.25">
      <c r="A16" s="18" t="s">
        <v>81</v>
      </c>
      <c r="B16" s="3">
        <v>113.7</v>
      </c>
      <c r="C16" s="18" t="s">
        <v>8</v>
      </c>
      <c r="D16" s="18" t="s">
        <v>68</v>
      </c>
      <c r="E16" s="8" t="s">
        <v>12</v>
      </c>
      <c r="F16" s="5">
        <v>45868</v>
      </c>
      <c r="G16" s="27"/>
      <c r="J16" s="13" t="s">
        <v>11</v>
      </c>
      <c r="K16" s="76">
        <v>1800.9040595238098</v>
      </c>
      <c r="L16"/>
    </row>
    <row r="17" spans="1:12" x14ac:dyDescent="0.25">
      <c r="A17" s="18" t="s">
        <v>82</v>
      </c>
      <c r="B17" s="3">
        <v>368.01</v>
      </c>
      <c r="C17" s="18" t="s">
        <v>8</v>
      </c>
      <c r="D17" s="18" t="s">
        <v>68</v>
      </c>
      <c r="E17" s="8" t="s">
        <v>12</v>
      </c>
      <c r="F17" s="5">
        <v>45868</v>
      </c>
      <c r="G17" s="27"/>
      <c r="J17" s="13" t="s">
        <v>517</v>
      </c>
      <c r="K17" s="76">
        <v>1942.5825000000002</v>
      </c>
      <c r="L17"/>
    </row>
    <row r="18" spans="1:12" x14ac:dyDescent="0.25">
      <c r="A18" s="137" t="s">
        <v>625</v>
      </c>
      <c r="B18" s="3">
        <v>394.7</v>
      </c>
      <c r="C18" s="18" t="s">
        <v>8</v>
      </c>
      <c r="D18" s="18" t="s">
        <v>68</v>
      </c>
      <c r="E18" s="8" t="s">
        <v>12</v>
      </c>
      <c r="F18" s="5">
        <v>45868</v>
      </c>
      <c r="G18" s="27"/>
      <c r="J18" s="13" t="s">
        <v>36</v>
      </c>
      <c r="K18" s="76">
        <v>614.82999999999993</v>
      </c>
      <c r="L18"/>
    </row>
    <row r="19" spans="1:12" x14ac:dyDescent="0.25">
      <c r="A19" s="18" t="s">
        <v>83</v>
      </c>
      <c r="B19" s="3">
        <v>4519.42</v>
      </c>
      <c r="C19" s="18" t="s">
        <v>72</v>
      </c>
      <c r="D19" s="18" t="s">
        <v>73</v>
      </c>
      <c r="E19" s="8" t="s">
        <v>12</v>
      </c>
      <c r="F19" s="5">
        <v>45868</v>
      </c>
      <c r="G19" s="27"/>
      <c r="J19" s="13" t="s">
        <v>31</v>
      </c>
      <c r="K19" s="76">
        <v>975.2299999999999</v>
      </c>
      <c r="L19"/>
    </row>
    <row r="20" spans="1:12" ht="15.75" customHeight="1" x14ac:dyDescent="0.25">
      <c r="A20" s="126" t="s">
        <v>601</v>
      </c>
      <c r="B20" s="3">
        <v>16000</v>
      </c>
      <c r="C20" s="18" t="s">
        <v>72</v>
      </c>
      <c r="D20" s="18" t="s">
        <v>73</v>
      </c>
      <c r="E20" s="8" t="s">
        <v>17</v>
      </c>
      <c r="F20" s="5">
        <v>45868</v>
      </c>
      <c r="G20" s="27"/>
      <c r="J20" s="13" t="s">
        <v>118</v>
      </c>
      <c r="K20" s="76">
        <v>616.88</v>
      </c>
      <c r="L20"/>
    </row>
    <row r="21" spans="1:12" ht="15.75" customHeight="1" x14ac:dyDescent="0.25">
      <c r="A21" s="144" t="s">
        <v>636</v>
      </c>
      <c r="B21" s="3">
        <v>800</v>
      </c>
      <c r="C21" s="18" t="s">
        <v>8</v>
      </c>
      <c r="D21" s="144" t="s">
        <v>114</v>
      </c>
      <c r="E21" s="8" t="s">
        <v>12</v>
      </c>
      <c r="F21" s="5">
        <v>45868</v>
      </c>
      <c r="G21" s="27"/>
      <c r="J21" s="13" t="s">
        <v>117</v>
      </c>
      <c r="K21" s="76">
        <v>119.82</v>
      </c>
      <c r="L21"/>
    </row>
    <row r="22" spans="1:12" ht="15.75" customHeight="1" x14ac:dyDescent="0.25">
      <c r="A22" s="126" t="s">
        <v>533</v>
      </c>
      <c r="B22" s="3">
        <v>2100</v>
      </c>
      <c r="C22" s="18" t="s">
        <v>8</v>
      </c>
      <c r="D22" s="126" t="s">
        <v>22</v>
      </c>
      <c r="E22" s="8" t="s">
        <v>17</v>
      </c>
      <c r="F22" s="5">
        <v>45868</v>
      </c>
      <c r="G22" s="27"/>
      <c r="J22" s="13" t="s">
        <v>26</v>
      </c>
      <c r="K22" s="76">
        <v>256.89999999999998</v>
      </c>
    </row>
    <row r="23" spans="1:12" ht="15.75" customHeight="1" x14ac:dyDescent="0.25">
      <c r="A23" s="2" t="s">
        <v>271</v>
      </c>
      <c r="B23" s="3">
        <f>877.5/12</f>
        <v>73.125</v>
      </c>
      <c r="C23" s="2" t="s">
        <v>8</v>
      </c>
      <c r="D23" s="2" t="s">
        <v>16</v>
      </c>
      <c r="E23" s="8" t="s">
        <v>12</v>
      </c>
      <c r="F23" s="5">
        <v>45629</v>
      </c>
      <c r="G23" s="31" t="s">
        <v>311</v>
      </c>
      <c r="J23" s="15" t="s">
        <v>130</v>
      </c>
      <c r="K23" s="77">
        <v>48565.151142857139</v>
      </c>
    </row>
    <row r="24" spans="1:12" ht="15.75" customHeight="1" x14ac:dyDescent="0.25">
      <c r="A24" s="18" t="s">
        <v>272</v>
      </c>
      <c r="B24" s="28">
        <v>346.14</v>
      </c>
      <c r="C24" s="2" t="s">
        <v>8</v>
      </c>
      <c r="D24" s="18" t="s">
        <v>108</v>
      </c>
      <c r="E24" s="18" t="s">
        <v>12</v>
      </c>
      <c r="F24" s="5">
        <v>45657</v>
      </c>
      <c r="G24" s="31" t="s">
        <v>356</v>
      </c>
      <c r="J24"/>
      <c r="K24"/>
    </row>
    <row r="25" spans="1:12" ht="15.75" customHeight="1" x14ac:dyDescent="0.25">
      <c r="A25" s="2" t="s">
        <v>273</v>
      </c>
      <c r="B25" s="3">
        <v>33.36</v>
      </c>
      <c r="C25" s="2" t="s">
        <v>8</v>
      </c>
      <c r="D25" s="2" t="s">
        <v>11</v>
      </c>
      <c r="E25" s="18" t="s">
        <v>12</v>
      </c>
      <c r="F25" s="5">
        <v>45639</v>
      </c>
      <c r="G25" s="31" t="s">
        <v>357</v>
      </c>
      <c r="J25"/>
      <c r="K25"/>
    </row>
    <row r="26" spans="1:12" ht="15.75" customHeight="1" x14ac:dyDescent="0.25">
      <c r="A26" s="18" t="s">
        <v>274</v>
      </c>
      <c r="B26" s="3">
        <v>68.8</v>
      </c>
      <c r="C26" s="18" t="s">
        <v>8</v>
      </c>
      <c r="D26" s="18" t="s">
        <v>22</v>
      </c>
      <c r="E26" s="8" t="s">
        <v>12</v>
      </c>
      <c r="F26" s="5">
        <v>45668</v>
      </c>
      <c r="G26" s="31" t="s">
        <v>322</v>
      </c>
      <c r="J26"/>
      <c r="K26"/>
    </row>
    <row r="27" spans="1:12" ht="15.75" customHeight="1" x14ac:dyDescent="0.25">
      <c r="A27" s="2" t="s">
        <v>275</v>
      </c>
      <c r="B27" s="3">
        <f>598.8/12</f>
        <v>49.9</v>
      </c>
      <c r="C27" s="2" t="s">
        <v>8</v>
      </c>
      <c r="D27" s="2" t="s">
        <v>20</v>
      </c>
      <c r="E27" s="2" t="s">
        <v>12</v>
      </c>
      <c r="F27" s="5">
        <v>45681</v>
      </c>
      <c r="G27" s="31" t="s">
        <v>322</v>
      </c>
      <c r="J27"/>
      <c r="K27"/>
    </row>
    <row r="28" spans="1:12" ht="15.75" customHeight="1" x14ac:dyDescent="0.25">
      <c r="A28" s="2" t="s">
        <v>276</v>
      </c>
      <c r="B28" s="3">
        <v>42.66</v>
      </c>
      <c r="C28" s="2" t="s">
        <v>8</v>
      </c>
      <c r="D28" s="2" t="s">
        <v>11</v>
      </c>
      <c r="E28" s="2" t="s">
        <v>12</v>
      </c>
      <c r="F28" s="8">
        <v>45698</v>
      </c>
      <c r="G28" s="31" t="s">
        <v>353</v>
      </c>
      <c r="J28"/>
      <c r="K28"/>
    </row>
    <row r="29" spans="1:12" ht="15.75" customHeight="1" x14ac:dyDescent="0.25">
      <c r="A29" s="2" t="s">
        <v>277</v>
      </c>
      <c r="B29" s="3">
        <f>199/6</f>
        <v>33.166666666666664</v>
      </c>
      <c r="C29" s="2" t="s">
        <v>8</v>
      </c>
      <c r="D29" s="2" t="s">
        <v>114</v>
      </c>
      <c r="E29" s="2" t="s">
        <v>12</v>
      </c>
      <c r="F29" s="8">
        <v>45701</v>
      </c>
      <c r="G29" s="31" t="s">
        <v>353</v>
      </c>
      <c r="J29"/>
      <c r="K29"/>
    </row>
    <row r="30" spans="1:12" ht="15.75" customHeight="1" x14ac:dyDescent="0.25">
      <c r="A30" s="2" t="s">
        <v>278</v>
      </c>
      <c r="B30" s="3">
        <v>116.33</v>
      </c>
      <c r="C30" s="2" t="s">
        <v>8</v>
      </c>
      <c r="D30" s="2" t="s">
        <v>11</v>
      </c>
      <c r="E30" s="2" t="s">
        <v>12</v>
      </c>
      <c r="F30" s="8">
        <v>45710</v>
      </c>
      <c r="G30" s="31" t="s">
        <v>353</v>
      </c>
      <c r="J30"/>
      <c r="K30"/>
    </row>
    <row r="31" spans="1:12" ht="15.75" customHeight="1" x14ac:dyDescent="0.25">
      <c r="A31" s="17" t="s">
        <v>282</v>
      </c>
      <c r="B31" s="118">
        <v>39.134999999999998</v>
      </c>
      <c r="C31" s="18" t="s">
        <v>8</v>
      </c>
      <c r="D31" s="18" t="s">
        <v>22</v>
      </c>
      <c r="E31" s="17" t="s">
        <v>12</v>
      </c>
      <c r="F31" s="26">
        <v>45718</v>
      </c>
      <c r="G31" s="27" t="s">
        <v>298</v>
      </c>
      <c r="J31"/>
      <c r="K31"/>
    </row>
    <row r="32" spans="1:12" ht="15.75" customHeight="1" x14ac:dyDescent="0.25">
      <c r="A32" s="17" t="s">
        <v>287</v>
      </c>
      <c r="B32" s="118">
        <v>57.179999999999993</v>
      </c>
      <c r="C32" s="18" t="s">
        <v>8</v>
      </c>
      <c r="D32" s="18" t="s">
        <v>22</v>
      </c>
      <c r="E32" s="17" t="s">
        <v>12</v>
      </c>
      <c r="F32" s="26">
        <v>45719</v>
      </c>
      <c r="G32" s="27" t="s">
        <v>310</v>
      </c>
      <c r="J32"/>
      <c r="K32"/>
    </row>
    <row r="33" spans="1:11" ht="15.75" customHeight="1" x14ac:dyDescent="0.25">
      <c r="A33" s="17" t="s">
        <v>384</v>
      </c>
      <c r="B33" s="118">
        <v>27.408333333333331</v>
      </c>
      <c r="C33" s="18" t="s">
        <v>8</v>
      </c>
      <c r="D33" s="18" t="s">
        <v>11</v>
      </c>
      <c r="E33" s="17" t="s">
        <v>12</v>
      </c>
      <c r="F33" s="26">
        <v>45731</v>
      </c>
      <c r="G33" s="27" t="s">
        <v>334</v>
      </c>
      <c r="J33"/>
      <c r="K33"/>
    </row>
    <row r="34" spans="1:11" ht="15.75" customHeight="1" x14ac:dyDescent="0.25">
      <c r="A34" s="17" t="s">
        <v>385</v>
      </c>
      <c r="B34" s="118">
        <v>27.406666666666666</v>
      </c>
      <c r="C34" s="18" t="s">
        <v>8</v>
      </c>
      <c r="D34" s="18" t="s">
        <v>14</v>
      </c>
      <c r="E34" s="17" t="s">
        <v>12</v>
      </c>
      <c r="F34" s="26">
        <v>45731</v>
      </c>
      <c r="G34" s="27" t="s">
        <v>334</v>
      </c>
      <c r="J34"/>
      <c r="K34"/>
    </row>
    <row r="35" spans="1:11" ht="15.75" customHeight="1" x14ac:dyDescent="0.25">
      <c r="A35" s="17" t="s">
        <v>391</v>
      </c>
      <c r="B35" s="118">
        <v>36.907499999999999</v>
      </c>
      <c r="C35" s="18" t="s">
        <v>8</v>
      </c>
      <c r="D35" s="18" t="s">
        <v>22</v>
      </c>
      <c r="E35" s="17" t="s">
        <v>17</v>
      </c>
      <c r="F35" s="26">
        <v>45734</v>
      </c>
      <c r="G35" s="27" t="s">
        <v>298</v>
      </c>
      <c r="J35"/>
      <c r="K35"/>
    </row>
    <row r="36" spans="1:11" ht="15.75" customHeight="1" x14ac:dyDescent="0.25">
      <c r="A36" s="17" t="s">
        <v>392</v>
      </c>
      <c r="B36" s="118">
        <v>133.25</v>
      </c>
      <c r="C36" s="18" t="s">
        <v>8</v>
      </c>
      <c r="D36" s="18" t="s">
        <v>22</v>
      </c>
      <c r="E36" s="17" t="s">
        <v>17</v>
      </c>
      <c r="F36" s="26">
        <v>45734</v>
      </c>
      <c r="G36" s="27" t="s">
        <v>298</v>
      </c>
      <c r="J36"/>
      <c r="K36"/>
    </row>
    <row r="37" spans="1:11" ht="15.75" customHeight="1" x14ac:dyDescent="0.25">
      <c r="A37" s="17" t="s">
        <v>400</v>
      </c>
      <c r="B37" s="118">
        <v>54.991666666666667</v>
      </c>
      <c r="C37" s="18" t="s">
        <v>8</v>
      </c>
      <c r="D37" s="18" t="s">
        <v>11</v>
      </c>
      <c r="E37" s="17" t="s">
        <v>12</v>
      </c>
      <c r="F37" s="26">
        <v>45742</v>
      </c>
      <c r="G37" s="27" t="s">
        <v>334</v>
      </c>
      <c r="J37"/>
      <c r="K37"/>
    </row>
    <row r="38" spans="1:11" ht="15.75" customHeight="1" x14ac:dyDescent="0.25">
      <c r="A38" s="17" t="s">
        <v>418</v>
      </c>
      <c r="B38" s="118">
        <v>52.28875</v>
      </c>
      <c r="C38" s="18" t="s">
        <v>8</v>
      </c>
      <c r="D38" s="18" t="s">
        <v>61</v>
      </c>
      <c r="E38" s="17" t="s">
        <v>12</v>
      </c>
      <c r="F38" s="26">
        <v>45753</v>
      </c>
      <c r="G38" s="27" t="s">
        <v>330</v>
      </c>
      <c r="J38"/>
      <c r="K38"/>
    </row>
    <row r="39" spans="1:11" ht="15.75" customHeight="1" x14ac:dyDescent="0.25">
      <c r="A39" s="17" t="s">
        <v>439</v>
      </c>
      <c r="B39" s="118">
        <v>123.5</v>
      </c>
      <c r="C39" s="18" t="s">
        <v>8</v>
      </c>
      <c r="D39" s="18" t="s">
        <v>11</v>
      </c>
      <c r="E39" s="17" t="s">
        <v>12</v>
      </c>
      <c r="F39" s="26">
        <v>45771</v>
      </c>
      <c r="G39" s="27" t="s">
        <v>328</v>
      </c>
      <c r="J39"/>
      <c r="K39"/>
    </row>
    <row r="40" spans="1:11" ht="15.75" customHeight="1" x14ac:dyDescent="0.25">
      <c r="A40" s="17" t="s">
        <v>447</v>
      </c>
      <c r="B40" s="118">
        <v>50.949999999999996</v>
      </c>
      <c r="C40" s="18" t="s">
        <v>8</v>
      </c>
      <c r="D40" s="18" t="s">
        <v>14</v>
      </c>
      <c r="E40" s="17" t="s">
        <v>12</v>
      </c>
      <c r="F40" s="26">
        <v>45775</v>
      </c>
      <c r="G40" s="27" t="s">
        <v>328</v>
      </c>
      <c r="J40"/>
      <c r="K40"/>
    </row>
    <row r="41" spans="1:11" ht="15.75" customHeight="1" x14ac:dyDescent="0.25">
      <c r="A41" s="17" t="s">
        <v>454</v>
      </c>
      <c r="B41" s="118">
        <v>90.24666666666667</v>
      </c>
      <c r="C41" s="18" t="s">
        <v>8</v>
      </c>
      <c r="D41" s="18" t="s">
        <v>14</v>
      </c>
      <c r="E41" s="17" t="s">
        <v>12</v>
      </c>
      <c r="F41" s="26">
        <v>45778</v>
      </c>
      <c r="G41" s="27" t="s">
        <v>305</v>
      </c>
      <c r="J41"/>
      <c r="K41"/>
    </row>
    <row r="42" spans="1:11" ht="15.75" customHeight="1" x14ac:dyDescent="0.25">
      <c r="A42" s="17" t="s">
        <v>456</v>
      </c>
      <c r="B42" s="118">
        <v>52.06</v>
      </c>
      <c r="C42" s="18" t="s">
        <v>8</v>
      </c>
      <c r="D42" s="18" t="s">
        <v>22</v>
      </c>
      <c r="E42" s="17" t="s">
        <v>12</v>
      </c>
      <c r="F42" s="26">
        <v>45780</v>
      </c>
      <c r="G42" s="27" t="s">
        <v>421</v>
      </c>
      <c r="J42"/>
      <c r="K42"/>
    </row>
    <row r="43" spans="1:11" ht="15.75" customHeight="1" x14ac:dyDescent="0.25">
      <c r="A43" s="17" t="s">
        <v>457</v>
      </c>
      <c r="B43" s="118">
        <v>39.699999999999996</v>
      </c>
      <c r="C43" s="18" t="s">
        <v>8</v>
      </c>
      <c r="D43" s="18" t="s">
        <v>114</v>
      </c>
      <c r="E43" s="17" t="s">
        <v>12</v>
      </c>
      <c r="F43" s="26">
        <v>45780</v>
      </c>
      <c r="G43" s="27" t="s">
        <v>331</v>
      </c>
      <c r="J43"/>
      <c r="K43"/>
    </row>
    <row r="44" spans="1:11" ht="15.75" customHeight="1" x14ac:dyDescent="0.25">
      <c r="A44" s="17" t="s">
        <v>471</v>
      </c>
      <c r="B44" s="118">
        <v>122.45</v>
      </c>
      <c r="C44" s="18" t="s">
        <v>8</v>
      </c>
      <c r="D44" s="18" t="s">
        <v>11</v>
      </c>
      <c r="E44" s="17" t="s">
        <v>17</v>
      </c>
      <c r="F44" s="26">
        <v>45789</v>
      </c>
      <c r="G44" s="27" t="s">
        <v>301</v>
      </c>
      <c r="J44"/>
      <c r="K44"/>
    </row>
    <row r="45" spans="1:11" ht="15.75" customHeight="1" x14ac:dyDescent="0.25">
      <c r="A45" s="17" t="s">
        <v>483</v>
      </c>
      <c r="B45" s="118">
        <v>245.4</v>
      </c>
      <c r="C45" s="18" t="s">
        <v>8</v>
      </c>
      <c r="D45" s="18" t="s">
        <v>14</v>
      </c>
      <c r="E45" s="17" t="s">
        <v>12</v>
      </c>
      <c r="F45" s="26">
        <v>45796</v>
      </c>
      <c r="G45" s="27" t="s">
        <v>305</v>
      </c>
      <c r="J45"/>
      <c r="K45"/>
    </row>
    <row r="46" spans="1:11" ht="15.75" customHeight="1" x14ac:dyDescent="0.25">
      <c r="A46" s="17" t="s">
        <v>486</v>
      </c>
      <c r="B46" s="118">
        <v>142.34</v>
      </c>
      <c r="C46" s="18" t="s">
        <v>8</v>
      </c>
      <c r="D46" s="18" t="s">
        <v>14</v>
      </c>
      <c r="E46" s="17" t="s">
        <v>17</v>
      </c>
      <c r="F46" s="26">
        <v>45797</v>
      </c>
      <c r="G46" s="27" t="s">
        <v>305</v>
      </c>
      <c r="J46"/>
      <c r="K46"/>
    </row>
    <row r="47" spans="1:11" ht="15.75" customHeight="1" x14ac:dyDescent="0.25">
      <c r="A47" s="17" t="s">
        <v>518</v>
      </c>
      <c r="B47" s="118">
        <v>133.64000000000001</v>
      </c>
      <c r="C47" s="18" t="s">
        <v>8</v>
      </c>
      <c r="D47" s="18" t="s">
        <v>517</v>
      </c>
      <c r="E47" s="17" t="s">
        <v>17</v>
      </c>
      <c r="F47" s="26">
        <v>45798</v>
      </c>
      <c r="G47" s="27" t="s">
        <v>521</v>
      </c>
      <c r="J47"/>
      <c r="K47"/>
    </row>
    <row r="48" spans="1:11" ht="15.75" customHeight="1" x14ac:dyDescent="0.25">
      <c r="A48" s="17" t="s">
        <v>490</v>
      </c>
      <c r="B48" s="118">
        <v>53.569000000000003</v>
      </c>
      <c r="C48" s="18" t="s">
        <v>8</v>
      </c>
      <c r="D48" s="18" t="s">
        <v>14</v>
      </c>
      <c r="E48" s="17" t="s">
        <v>12</v>
      </c>
      <c r="F48" s="26">
        <v>45799</v>
      </c>
      <c r="G48" s="27" t="s">
        <v>493</v>
      </c>
      <c r="J48"/>
      <c r="K48"/>
    </row>
    <row r="49" spans="1:11" ht="15.75" customHeight="1" x14ac:dyDescent="0.25">
      <c r="A49" s="17" t="s">
        <v>495</v>
      </c>
      <c r="B49" s="118">
        <v>68.393333333333331</v>
      </c>
      <c r="C49" s="18" t="s">
        <v>8</v>
      </c>
      <c r="D49" s="18" t="s">
        <v>14</v>
      </c>
      <c r="E49" s="17" t="s">
        <v>12</v>
      </c>
      <c r="F49" s="26">
        <v>45801</v>
      </c>
      <c r="G49" s="27" t="s">
        <v>305</v>
      </c>
      <c r="J49"/>
      <c r="K49"/>
    </row>
    <row r="50" spans="1:11" ht="15.75" customHeight="1" x14ac:dyDescent="0.25">
      <c r="A50" s="17" t="s">
        <v>505</v>
      </c>
      <c r="B50" s="118">
        <v>81.599999999999994</v>
      </c>
      <c r="C50" s="18" t="s">
        <v>8</v>
      </c>
      <c r="D50" s="18" t="s">
        <v>11</v>
      </c>
      <c r="E50" s="17" t="s">
        <v>12</v>
      </c>
      <c r="F50" s="26">
        <v>45805</v>
      </c>
      <c r="G50" s="27" t="s">
        <v>308</v>
      </c>
      <c r="J50"/>
      <c r="K50"/>
    </row>
    <row r="51" spans="1:11" ht="15.75" customHeight="1" x14ac:dyDescent="0.25">
      <c r="A51" s="17" t="s">
        <v>506</v>
      </c>
      <c r="B51" s="118">
        <v>39.012500000000003</v>
      </c>
      <c r="C51" s="18" t="s">
        <v>8</v>
      </c>
      <c r="D51" s="18" t="s">
        <v>22</v>
      </c>
      <c r="E51" s="17" t="s">
        <v>12</v>
      </c>
      <c r="F51" s="26">
        <v>45805</v>
      </c>
      <c r="G51" s="27" t="s">
        <v>301</v>
      </c>
      <c r="J51"/>
      <c r="K51"/>
    </row>
    <row r="52" spans="1:11" ht="15.75" customHeight="1" x14ac:dyDescent="0.25">
      <c r="A52" s="17" t="s">
        <v>513</v>
      </c>
      <c r="B52" s="118">
        <v>47.5</v>
      </c>
      <c r="C52" s="18" t="s">
        <v>8</v>
      </c>
      <c r="D52" s="18" t="s">
        <v>22</v>
      </c>
      <c r="E52" s="17" t="s">
        <v>12</v>
      </c>
      <c r="F52" s="26">
        <v>45810</v>
      </c>
      <c r="G52" s="27" t="s">
        <v>327</v>
      </c>
      <c r="J52"/>
      <c r="K52"/>
    </row>
    <row r="53" spans="1:11" ht="15.75" customHeight="1" x14ac:dyDescent="0.25">
      <c r="A53" s="17" t="s">
        <v>514</v>
      </c>
      <c r="B53" s="118">
        <v>31.995999999999999</v>
      </c>
      <c r="C53" s="18" t="s">
        <v>8</v>
      </c>
      <c r="D53" s="18" t="s">
        <v>22</v>
      </c>
      <c r="E53" s="17" t="s">
        <v>12</v>
      </c>
      <c r="F53" s="26">
        <v>45811</v>
      </c>
      <c r="G53" s="27" t="s">
        <v>307</v>
      </c>
      <c r="J53"/>
      <c r="K53"/>
    </row>
    <row r="54" spans="1:11" ht="15.75" customHeight="1" x14ac:dyDescent="0.25">
      <c r="A54" s="17" t="s">
        <v>527</v>
      </c>
      <c r="B54" s="118">
        <v>133.64000000000001</v>
      </c>
      <c r="C54" s="18" t="s">
        <v>8</v>
      </c>
      <c r="D54" s="18" t="s">
        <v>517</v>
      </c>
      <c r="E54" s="17" t="s">
        <v>17</v>
      </c>
      <c r="F54" s="26">
        <v>45810</v>
      </c>
      <c r="G54" s="27" t="s">
        <v>520</v>
      </c>
      <c r="J54"/>
      <c r="K54"/>
    </row>
    <row r="55" spans="1:11" ht="15.75" customHeight="1" x14ac:dyDescent="0.25">
      <c r="A55" s="17" t="s">
        <v>529</v>
      </c>
      <c r="B55" s="118">
        <v>54.46</v>
      </c>
      <c r="C55" s="18" t="s">
        <v>8</v>
      </c>
      <c r="D55" s="18" t="s">
        <v>14</v>
      </c>
      <c r="E55" s="17" t="s">
        <v>17</v>
      </c>
      <c r="F55" s="26">
        <v>45810</v>
      </c>
      <c r="G55" s="27" t="s">
        <v>304</v>
      </c>
      <c r="J55"/>
      <c r="K55"/>
    </row>
    <row r="56" spans="1:11" ht="15.75" customHeight="1" x14ac:dyDescent="0.25">
      <c r="A56" s="17" t="s">
        <v>13</v>
      </c>
      <c r="B56" s="118">
        <v>51.963333333333331</v>
      </c>
      <c r="C56" s="18" t="s">
        <v>8</v>
      </c>
      <c r="D56" s="18" t="s">
        <v>11</v>
      </c>
      <c r="E56" s="17" t="s">
        <v>17</v>
      </c>
      <c r="F56" s="26">
        <v>45816</v>
      </c>
      <c r="G56" s="27" t="s">
        <v>304</v>
      </c>
      <c r="J56"/>
      <c r="K56"/>
    </row>
    <row r="57" spans="1:11" ht="15.75" customHeight="1" x14ac:dyDescent="0.25">
      <c r="A57" s="17" t="s">
        <v>539</v>
      </c>
      <c r="B57" s="118">
        <v>26.333333333333332</v>
      </c>
      <c r="C57" s="18" t="s">
        <v>8</v>
      </c>
      <c r="D57" s="18" t="s">
        <v>11</v>
      </c>
      <c r="E57" s="17" t="s">
        <v>12</v>
      </c>
      <c r="F57" s="26">
        <v>45814</v>
      </c>
      <c r="G57" s="27" t="s">
        <v>304</v>
      </c>
      <c r="J57"/>
      <c r="K57"/>
    </row>
    <row r="58" spans="1:11" ht="15.75" customHeight="1" x14ac:dyDescent="0.25">
      <c r="A58" s="17" t="s">
        <v>543</v>
      </c>
      <c r="B58" s="118">
        <v>23.495000000000001</v>
      </c>
      <c r="C58" s="18" t="s">
        <v>8</v>
      </c>
      <c r="D58" s="18" t="s">
        <v>22</v>
      </c>
      <c r="E58" s="17" t="s">
        <v>12</v>
      </c>
      <c r="F58" s="26">
        <v>45815</v>
      </c>
      <c r="G58" s="27" t="s">
        <v>327</v>
      </c>
      <c r="J58"/>
      <c r="K58"/>
    </row>
    <row r="59" spans="1:11" ht="15.75" customHeight="1" x14ac:dyDescent="0.25">
      <c r="A59" s="17" t="s">
        <v>544</v>
      </c>
      <c r="B59" s="118">
        <v>77.12</v>
      </c>
      <c r="C59" s="18" t="s">
        <v>8</v>
      </c>
      <c r="D59" s="18" t="s">
        <v>114</v>
      </c>
      <c r="E59" s="17" t="s">
        <v>12</v>
      </c>
      <c r="F59" s="26">
        <v>45816</v>
      </c>
      <c r="G59" s="27" t="s">
        <v>492</v>
      </c>
      <c r="J59"/>
      <c r="K59"/>
    </row>
    <row r="60" spans="1:11" ht="15.75" customHeight="1" x14ac:dyDescent="0.25">
      <c r="A60" s="17" t="s">
        <v>540</v>
      </c>
      <c r="B60" s="118">
        <v>110.99666666666667</v>
      </c>
      <c r="C60" s="18" t="s">
        <v>8</v>
      </c>
      <c r="D60" s="18" t="s">
        <v>517</v>
      </c>
      <c r="E60" s="17" t="s">
        <v>12</v>
      </c>
      <c r="F60" s="26">
        <v>45815</v>
      </c>
      <c r="G60" s="27" t="s">
        <v>304</v>
      </c>
      <c r="J60"/>
      <c r="K60"/>
    </row>
    <row r="61" spans="1:11" ht="15.75" customHeight="1" x14ac:dyDescent="0.25">
      <c r="A61" s="17" t="s">
        <v>540</v>
      </c>
      <c r="B61" s="118">
        <v>37.013333333333335</v>
      </c>
      <c r="C61" s="18" t="s">
        <v>8</v>
      </c>
      <c r="D61" s="18" t="s">
        <v>517</v>
      </c>
      <c r="E61" s="17" t="s">
        <v>12</v>
      </c>
      <c r="F61" s="26">
        <v>45815</v>
      </c>
      <c r="G61" s="27" t="s">
        <v>304</v>
      </c>
      <c r="J61"/>
      <c r="K61"/>
    </row>
    <row r="62" spans="1:11" ht="15.75" customHeight="1" x14ac:dyDescent="0.25">
      <c r="A62" s="17" t="s">
        <v>554</v>
      </c>
      <c r="B62" s="118">
        <v>138.91499999999999</v>
      </c>
      <c r="C62" s="18" t="s">
        <v>8</v>
      </c>
      <c r="D62" s="18" t="s">
        <v>517</v>
      </c>
      <c r="E62" s="17" t="s">
        <v>17</v>
      </c>
      <c r="F62" s="26">
        <v>45823</v>
      </c>
      <c r="G62" s="27" t="s">
        <v>332</v>
      </c>
      <c r="J62"/>
      <c r="K62"/>
    </row>
    <row r="63" spans="1:11" ht="15.75" customHeight="1" x14ac:dyDescent="0.25">
      <c r="A63" s="17" t="s">
        <v>555</v>
      </c>
      <c r="B63" s="118">
        <v>151.80333333333334</v>
      </c>
      <c r="C63" s="18" t="s">
        <v>8</v>
      </c>
      <c r="D63" s="18" t="s">
        <v>517</v>
      </c>
      <c r="E63" s="17" t="s">
        <v>17</v>
      </c>
      <c r="F63" s="26">
        <v>45823</v>
      </c>
      <c r="G63" s="27" t="s">
        <v>332</v>
      </c>
      <c r="J63"/>
      <c r="K63"/>
    </row>
    <row r="64" spans="1:11" ht="15.75" customHeight="1" x14ac:dyDescent="0.25">
      <c r="A64" s="17" t="s">
        <v>563</v>
      </c>
      <c r="B64" s="118">
        <v>84.286666666666676</v>
      </c>
      <c r="C64" s="18" t="s">
        <v>8</v>
      </c>
      <c r="D64" s="18" t="s">
        <v>22</v>
      </c>
      <c r="E64" s="17" t="s">
        <v>12</v>
      </c>
      <c r="F64" s="26">
        <v>45823</v>
      </c>
      <c r="G64" s="27" t="s">
        <v>304</v>
      </c>
      <c r="J64"/>
      <c r="K64"/>
    </row>
    <row r="65" spans="1:11" ht="15.75" customHeight="1" x14ac:dyDescent="0.25">
      <c r="A65" s="17" t="s">
        <v>564</v>
      </c>
      <c r="B65" s="120">
        <v>11.417142857142858</v>
      </c>
      <c r="C65" s="18" t="s">
        <v>8</v>
      </c>
      <c r="D65" s="18" t="s">
        <v>11</v>
      </c>
      <c r="E65" s="17" t="s">
        <v>12</v>
      </c>
      <c r="F65" s="26">
        <v>45824</v>
      </c>
      <c r="G65" s="27" t="s">
        <v>520</v>
      </c>
      <c r="J65"/>
      <c r="K65"/>
    </row>
    <row r="66" spans="1:11" ht="15.75" customHeight="1" x14ac:dyDescent="0.25">
      <c r="A66" s="17" t="s">
        <v>566</v>
      </c>
      <c r="B66" s="120">
        <v>68.373333333333335</v>
      </c>
      <c r="C66" s="18" t="s">
        <v>8</v>
      </c>
      <c r="D66" s="18" t="s">
        <v>517</v>
      </c>
      <c r="E66" s="17" t="s">
        <v>12</v>
      </c>
      <c r="F66" s="26">
        <v>45825</v>
      </c>
      <c r="G66" s="27" t="s">
        <v>304</v>
      </c>
      <c r="J66"/>
      <c r="K66"/>
    </row>
    <row r="67" spans="1:11" ht="15.75" customHeight="1" x14ac:dyDescent="0.25">
      <c r="A67" s="17" t="s">
        <v>569</v>
      </c>
      <c r="B67" s="120">
        <v>20.663333333333334</v>
      </c>
      <c r="C67" s="18" t="s">
        <v>8</v>
      </c>
      <c r="D67" s="18" t="s">
        <v>22</v>
      </c>
      <c r="E67" s="17" t="s">
        <v>12</v>
      </c>
      <c r="F67" s="26">
        <v>45827</v>
      </c>
      <c r="G67" s="27" t="s">
        <v>304</v>
      </c>
      <c r="J67"/>
      <c r="K67"/>
    </row>
    <row r="68" spans="1:11" ht="15.75" customHeight="1" x14ac:dyDescent="0.25">
      <c r="A68" s="17" t="s">
        <v>572</v>
      </c>
      <c r="B68" s="120">
        <v>22.349999999999998</v>
      </c>
      <c r="C68" s="18" t="s">
        <v>8</v>
      </c>
      <c r="D68" s="18" t="s">
        <v>61</v>
      </c>
      <c r="E68" s="17" t="s">
        <v>12</v>
      </c>
      <c r="F68" s="26">
        <v>45831</v>
      </c>
      <c r="G68" s="27" t="s">
        <v>295</v>
      </c>
      <c r="J68"/>
      <c r="K68"/>
    </row>
    <row r="69" spans="1:11" ht="15.75" customHeight="1" x14ac:dyDescent="0.25">
      <c r="A69" s="17" t="s">
        <v>573</v>
      </c>
      <c r="B69" s="120">
        <v>54.256250000000001</v>
      </c>
      <c r="C69" s="18" t="s">
        <v>8</v>
      </c>
      <c r="D69" s="18" t="s">
        <v>11</v>
      </c>
      <c r="E69" s="17" t="s">
        <v>12</v>
      </c>
      <c r="F69" s="26">
        <v>45831</v>
      </c>
      <c r="G69" s="27" t="s">
        <v>420</v>
      </c>
      <c r="J69"/>
      <c r="K69"/>
    </row>
    <row r="70" spans="1:11" ht="15.75" customHeight="1" x14ac:dyDescent="0.25">
      <c r="A70" s="17" t="s">
        <v>574</v>
      </c>
      <c r="B70" s="120">
        <v>27.803333333333331</v>
      </c>
      <c r="C70" s="18" t="s">
        <v>8</v>
      </c>
      <c r="D70" s="18" t="s">
        <v>14</v>
      </c>
      <c r="E70" s="17" t="s">
        <v>12</v>
      </c>
      <c r="F70" s="26">
        <v>45831</v>
      </c>
      <c r="G70" s="27" t="s">
        <v>332</v>
      </c>
      <c r="J70"/>
      <c r="K70"/>
    </row>
    <row r="71" spans="1:11" ht="15.75" customHeight="1" x14ac:dyDescent="0.25">
      <c r="A71" s="17" t="s">
        <v>581</v>
      </c>
      <c r="B71" s="122">
        <v>39.123333333333335</v>
      </c>
      <c r="C71" s="18" t="s">
        <v>8</v>
      </c>
      <c r="D71" s="18" t="s">
        <v>517</v>
      </c>
      <c r="E71" s="17" t="s">
        <v>12</v>
      </c>
      <c r="F71" s="26">
        <v>45831</v>
      </c>
      <c r="G71" s="27" t="s">
        <v>304</v>
      </c>
      <c r="J71"/>
      <c r="K71"/>
    </row>
    <row r="72" spans="1:11" ht="15.75" customHeight="1" x14ac:dyDescent="0.25">
      <c r="A72" s="17" t="s">
        <v>584</v>
      </c>
      <c r="B72" s="122">
        <v>222.29999999999998</v>
      </c>
      <c r="C72" s="18" t="s">
        <v>8</v>
      </c>
      <c r="D72" s="18" t="s">
        <v>22</v>
      </c>
      <c r="E72" s="17" t="s">
        <v>12</v>
      </c>
      <c r="F72" s="26">
        <v>45832</v>
      </c>
      <c r="G72" s="27" t="s">
        <v>304</v>
      </c>
      <c r="J72"/>
      <c r="K72"/>
    </row>
    <row r="73" spans="1:11" ht="15.75" customHeight="1" x14ac:dyDescent="0.25">
      <c r="A73" s="17" t="s">
        <v>585</v>
      </c>
      <c r="B73" s="122">
        <v>55.875</v>
      </c>
      <c r="C73" s="18" t="s">
        <v>8</v>
      </c>
      <c r="D73" s="18" t="s">
        <v>22</v>
      </c>
      <c r="E73" s="17" t="s">
        <v>12</v>
      </c>
      <c r="F73" s="26">
        <v>45832</v>
      </c>
      <c r="G73" s="27" t="s">
        <v>420</v>
      </c>
      <c r="J73"/>
      <c r="K73"/>
    </row>
    <row r="74" spans="1:11" ht="15.75" customHeight="1" x14ac:dyDescent="0.25">
      <c r="A74" s="17" t="s">
        <v>544</v>
      </c>
      <c r="B74" s="122">
        <v>36.313333333333333</v>
      </c>
      <c r="C74" s="18" t="s">
        <v>8</v>
      </c>
      <c r="D74" s="18" t="s">
        <v>11</v>
      </c>
      <c r="E74" s="17" t="s">
        <v>12</v>
      </c>
      <c r="F74" s="26">
        <v>45832</v>
      </c>
      <c r="G74" s="27" t="s">
        <v>332</v>
      </c>
      <c r="J74"/>
      <c r="K74"/>
    </row>
    <row r="75" spans="1:11" ht="15.75" customHeight="1" x14ac:dyDescent="0.25">
      <c r="A75" s="17" t="s">
        <v>586</v>
      </c>
      <c r="B75" s="122">
        <v>68</v>
      </c>
      <c r="C75" s="18" t="s">
        <v>8</v>
      </c>
      <c r="D75" s="18" t="s">
        <v>22</v>
      </c>
      <c r="E75" s="17" t="s">
        <v>12</v>
      </c>
      <c r="F75" s="26">
        <v>45832</v>
      </c>
      <c r="G75" s="27" t="s">
        <v>332</v>
      </c>
      <c r="J75"/>
      <c r="K75"/>
    </row>
    <row r="76" spans="1:11" ht="15.75" customHeight="1" x14ac:dyDescent="0.25">
      <c r="A76" s="17" t="s">
        <v>590</v>
      </c>
      <c r="B76" s="122">
        <v>185.11</v>
      </c>
      <c r="C76" s="18" t="s">
        <v>8</v>
      </c>
      <c r="D76" s="18" t="s">
        <v>517</v>
      </c>
      <c r="E76" s="17" t="s">
        <v>12</v>
      </c>
      <c r="F76" s="26">
        <v>45833</v>
      </c>
      <c r="G76" s="27" t="s">
        <v>327</v>
      </c>
      <c r="J76"/>
      <c r="K76"/>
    </row>
    <row r="77" spans="1:11" ht="15.75" customHeight="1" x14ac:dyDescent="0.25">
      <c r="A77" s="17" t="s">
        <v>590</v>
      </c>
      <c r="B77" s="122">
        <v>216.50333333333333</v>
      </c>
      <c r="C77" s="18" t="s">
        <v>8</v>
      </c>
      <c r="D77" s="18" t="s">
        <v>517</v>
      </c>
      <c r="E77" s="17" t="s">
        <v>12</v>
      </c>
      <c r="F77" s="26">
        <v>45833</v>
      </c>
      <c r="G77" s="27" t="s">
        <v>304</v>
      </c>
      <c r="J77"/>
      <c r="K77"/>
    </row>
    <row r="78" spans="1:11" ht="15.75" customHeight="1" x14ac:dyDescent="0.25">
      <c r="A78" s="17" t="s">
        <v>591</v>
      </c>
      <c r="B78" s="122">
        <v>50</v>
      </c>
      <c r="C78" s="18" t="s">
        <v>8</v>
      </c>
      <c r="D78" s="18" t="s">
        <v>114</v>
      </c>
      <c r="E78" s="17" t="s">
        <v>12</v>
      </c>
      <c r="F78" s="26">
        <v>45834</v>
      </c>
      <c r="G78" s="27" t="s">
        <v>492</v>
      </c>
      <c r="J78"/>
      <c r="K78"/>
    </row>
    <row r="79" spans="1:11" ht="15.75" customHeight="1" x14ac:dyDescent="0.25">
      <c r="A79" s="17" t="s">
        <v>592</v>
      </c>
      <c r="B79" s="122">
        <v>195</v>
      </c>
      <c r="C79" s="18" t="s">
        <v>8</v>
      </c>
      <c r="D79" s="18" t="s">
        <v>114</v>
      </c>
      <c r="E79" s="17" t="s">
        <v>12</v>
      </c>
      <c r="F79" s="26">
        <v>45835</v>
      </c>
      <c r="G79" s="27" t="s">
        <v>327</v>
      </c>
      <c r="J79"/>
      <c r="K79"/>
    </row>
    <row r="80" spans="1:11" ht="15.75" customHeight="1" x14ac:dyDescent="0.25">
      <c r="A80" s="17" t="s">
        <v>596</v>
      </c>
      <c r="B80" s="122">
        <v>24</v>
      </c>
      <c r="C80" s="18" t="s">
        <v>8</v>
      </c>
      <c r="D80" s="18" t="s">
        <v>16</v>
      </c>
      <c r="E80" s="17" t="s">
        <v>12</v>
      </c>
      <c r="F80" s="26">
        <v>45837</v>
      </c>
      <c r="G80" s="27" t="s">
        <v>293</v>
      </c>
      <c r="J80"/>
      <c r="K80"/>
    </row>
    <row r="81" spans="1:11" ht="15.75" customHeight="1" x14ac:dyDescent="0.25">
      <c r="A81" s="17" t="s">
        <v>557</v>
      </c>
      <c r="B81" s="122">
        <v>24.99</v>
      </c>
      <c r="C81" s="18" t="s">
        <v>8</v>
      </c>
      <c r="D81" s="18" t="s">
        <v>36</v>
      </c>
      <c r="E81" s="17" t="s">
        <v>12</v>
      </c>
      <c r="F81" s="26">
        <v>45837</v>
      </c>
      <c r="G81" s="27" t="s">
        <v>293</v>
      </c>
      <c r="J81"/>
      <c r="K81"/>
    </row>
    <row r="82" spans="1:11" ht="15.75" customHeight="1" x14ac:dyDescent="0.25">
      <c r="A82" s="17" t="s">
        <v>597</v>
      </c>
      <c r="B82" s="122">
        <v>84.99</v>
      </c>
      <c r="C82" s="18" t="s">
        <v>8</v>
      </c>
      <c r="D82" s="18" t="s">
        <v>11</v>
      </c>
      <c r="E82" s="17" t="s">
        <v>12</v>
      </c>
      <c r="F82" s="26">
        <v>45837</v>
      </c>
      <c r="G82" s="27" t="s">
        <v>293</v>
      </c>
      <c r="J82"/>
      <c r="K82"/>
    </row>
    <row r="83" spans="1:11" ht="15.75" customHeight="1" x14ac:dyDescent="0.25">
      <c r="A83" s="17" t="s">
        <v>597</v>
      </c>
      <c r="B83" s="122">
        <v>98.99</v>
      </c>
      <c r="C83" s="18" t="s">
        <v>8</v>
      </c>
      <c r="D83" s="18" t="s">
        <v>11</v>
      </c>
      <c r="E83" s="17" t="s">
        <v>12</v>
      </c>
      <c r="F83" s="26">
        <v>45837</v>
      </c>
      <c r="G83" s="27" t="s">
        <v>293</v>
      </c>
      <c r="J83"/>
      <c r="K83"/>
    </row>
    <row r="84" spans="1:11" ht="15.75" customHeight="1" x14ac:dyDescent="0.25">
      <c r="A84" s="17" t="s">
        <v>598</v>
      </c>
      <c r="B84" s="122">
        <v>70</v>
      </c>
      <c r="C84" s="18" t="s">
        <v>8</v>
      </c>
      <c r="D84" s="18" t="s">
        <v>108</v>
      </c>
      <c r="E84" s="17" t="s">
        <v>12</v>
      </c>
      <c r="F84" s="26">
        <v>45838</v>
      </c>
      <c r="G84" s="27" t="s">
        <v>293</v>
      </c>
      <c r="J84"/>
      <c r="K84"/>
    </row>
    <row r="85" spans="1:11" ht="15.75" customHeight="1" x14ac:dyDescent="0.25">
      <c r="A85" s="127" t="s">
        <v>602</v>
      </c>
      <c r="B85" s="124">
        <v>16.09</v>
      </c>
      <c r="C85" s="18" t="s">
        <v>8</v>
      </c>
      <c r="D85" s="127" t="s">
        <v>22</v>
      </c>
      <c r="E85" s="123" t="s">
        <v>12</v>
      </c>
      <c r="F85" s="26">
        <v>45839</v>
      </c>
      <c r="G85" s="27" t="s">
        <v>293</v>
      </c>
      <c r="J85"/>
      <c r="K85"/>
    </row>
    <row r="86" spans="1:11" ht="15.75" customHeight="1" x14ac:dyDescent="0.25">
      <c r="A86" s="127" t="s">
        <v>603</v>
      </c>
      <c r="B86" s="124">
        <v>66.900000000000006</v>
      </c>
      <c r="C86" s="18" t="s">
        <v>8</v>
      </c>
      <c r="D86" s="127" t="s">
        <v>36</v>
      </c>
      <c r="E86" s="123" t="s">
        <v>12</v>
      </c>
      <c r="F86" s="26">
        <v>45839</v>
      </c>
      <c r="G86" s="27" t="s">
        <v>293</v>
      </c>
      <c r="J86"/>
      <c r="K86"/>
    </row>
    <row r="87" spans="1:11" ht="15.75" customHeight="1" x14ac:dyDescent="0.25">
      <c r="A87" s="127" t="s">
        <v>544</v>
      </c>
      <c r="B87" s="124">
        <v>49.44</v>
      </c>
      <c r="C87" s="18" t="s">
        <v>8</v>
      </c>
      <c r="D87" s="127" t="s">
        <v>11</v>
      </c>
      <c r="E87" s="123" t="s">
        <v>12</v>
      </c>
      <c r="F87" s="26">
        <v>45839</v>
      </c>
      <c r="G87" s="27" t="s">
        <v>293</v>
      </c>
      <c r="J87"/>
      <c r="K87"/>
    </row>
    <row r="88" spans="1:11" ht="15.75" customHeight="1" x14ac:dyDescent="0.25">
      <c r="A88" s="127" t="s">
        <v>597</v>
      </c>
      <c r="B88" s="124">
        <v>79.8</v>
      </c>
      <c r="C88" s="18" t="s">
        <v>8</v>
      </c>
      <c r="D88" s="127" t="s">
        <v>11</v>
      </c>
      <c r="E88" s="123" t="s">
        <v>12</v>
      </c>
      <c r="F88" s="26">
        <v>45839</v>
      </c>
      <c r="G88" s="27" t="s">
        <v>293</v>
      </c>
      <c r="J88"/>
      <c r="K88"/>
    </row>
    <row r="89" spans="1:11" ht="15.75" customHeight="1" x14ac:dyDescent="0.25">
      <c r="A89" s="127" t="s">
        <v>604</v>
      </c>
      <c r="B89" s="124">
        <v>15</v>
      </c>
      <c r="C89" s="18" t="s">
        <v>8</v>
      </c>
      <c r="D89" s="127" t="s">
        <v>22</v>
      </c>
      <c r="E89" s="123" t="s">
        <v>12</v>
      </c>
      <c r="F89" s="26">
        <v>45840</v>
      </c>
      <c r="G89" s="27" t="s">
        <v>293</v>
      </c>
      <c r="J89"/>
      <c r="K89"/>
    </row>
    <row r="90" spans="1:11" ht="15.75" customHeight="1" x14ac:dyDescent="0.25">
      <c r="A90" s="17" t="s">
        <v>613</v>
      </c>
      <c r="B90" s="130">
        <v>60</v>
      </c>
      <c r="C90" s="18" t="s">
        <v>8</v>
      </c>
      <c r="D90" s="18" t="s">
        <v>14</v>
      </c>
      <c r="E90" s="17" t="s">
        <v>17</v>
      </c>
      <c r="F90" s="26">
        <v>45840</v>
      </c>
      <c r="G90" s="27" t="s">
        <v>293</v>
      </c>
      <c r="J90"/>
      <c r="K90"/>
    </row>
    <row r="91" spans="1:11" ht="15.75" customHeight="1" x14ac:dyDescent="0.25">
      <c r="A91" s="17" t="s">
        <v>120</v>
      </c>
      <c r="B91" s="129">
        <v>20.27</v>
      </c>
      <c r="C91" s="131" t="s">
        <v>8</v>
      </c>
      <c r="D91" s="18" t="s">
        <v>31</v>
      </c>
      <c r="E91" s="128" t="s">
        <v>12</v>
      </c>
      <c r="F91" s="26">
        <v>45841</v>
      </c>
      <c r="G91" s="27" t="s">
        <v>293</v>
      </c>
      <c r="J91"/>
      <c r="K91"/>
    </row>
    <row r="92" spans="1:11" ht="15.75" customHeight="1" x14ac:dyDescent="0.25">
      <c r="A92" s="17" t="s">
        <v>614</v>
      </c>
      <c r="B92" s="130">
        <v>55.68</v>
      </c>
      <c r="C92" s="18" t="s">
        <v>8</v>
      </c>
      <c r="D92" s="18" t="s">
        <v>16</v>
      </c>
      <c r="E92" s="17" t="s">
        <v>17</v>
      </c>
      <c r="F92" s="26">
        <v>45841</v>
      </c>
      <c r="G92" s="27" t="s">
        <v>303</v>
      </c>
      <c r="J92"/>
      <c r="K92"/>
    </row>
    <row r="93" spans="1:11" ht="15.75" customHeight="1" x14ac:dyDescent="0.25">
      <c r="A93" s="17" t="s">
        <v>120</v>
      </c>
      <c r="B93" s="129">
        <v>21.39</v>
      </c>
      <c r="C93" s="131" t="s">
        <v>8</v>
      </c>
      <c r="D93" s="18" t="s">
        <v>31</v>
      </c>
      <c r="E93" s="128" t="s">
        <v>12</v>
      </c>
      <c r="F93" s="26">
        <v>45842</v>
      </c>
      <c r="G93" s="27" t="s">
        <v>293</v>
      </c>
      <c r="J93"/>
      <c r="K93"/>
    </row>
    <row r="94" spans="1:11" ht="15.75" customHeight="1" x14ac:dyDescent="0.25">
      <c r="A94" s="17" t="s">
        <v>120</v>
      </c>
      <c r="B94" s="129">
        <v>22.08</v>
      </c>
      <c r="C94" s="18" t="s">
        <v>8</v>
      </c>
      <c r="D94" s="18" t="s">
        <v>31</v>
      </c>
      <c r="E94" s="17" t="s">
        <v>12</v>
      </c>
      <c r="F94" s="26">
        <v>45842</v>
      </c>
      <c r="G94" s="27" t="s">
        <v>293</v>
      </c>
      <c r="J94"/>
      <c r="K94"/>
    </row>
    <row r="95" spans="1:11" ht="15.75" customHeight="1" x14ac:dyDescent="0.25">
      <c r="A95" s="17" t="s">
        <v>605</v>
      </c>
      <c r="B95" s="129">
        <v>57.5</v>
      </c>
      <c r="C95" s="18" t="s">
        <v>8</v>
      </c>
      <c r="D95" s="18" t="s">
        <v>36</v>
      </c>
      <c r="E95" s="17" t="s">
        <v>12</v>
      </c>
      <c r="F95" s="26">
        <v>45842</v>
      </c>
      <c r="G95" s="27" t="s">
        <v>293</v>
      </c>
      <c r="J95"/>
      <c r="K95"/>
    </row>
    <row r="96" spans="1:11" ht="15.75" customHeight="1" x14ac:dyDescent="0.25">
      <c r="A96" s="17" t="s">
        <v>606</v>
      </c>
      <c r="B96" s="129">
        <v>87.7</v>
      </c>
      <c r="C96" s="18" t="s">
        <v>8</v>
      </c>
      <c r="D96" s="18" t="s">
        <v>11</v>
      </c>
      <c r="E96" s="17" t="s">
        <v>12</v>
      </c>
      <c r="F96" s="26">
        <v>45844</v>
      </c>
      <c r="G96" s="27" t="s">
        <v>293</v>
      </c>
      <c r="J96"/>
      <c r="K96"/>
    </row>
    <row r="97" spans="1:11" ht="15.75" customHeight="1" x14ac:dyDescent="0.25">
      <c r="A97" s="17" t="s">
        <v>607</v>
      </c>
      <c r="B97" s="129">
        <v>30.66</v>
      </c>
      <c r="C97" s="18" t="s">
        <v>8</v>
      </c>
      <c r="D97" s="18" t="s">
        <v>114</v>
      </c>
      <c r="E97" s="17" t="s">
        <v>12</v>
      </c>
      <c r="F97" s="26">
        <v>45844</v>
      </c>
      <c r="G97" s="27" t="s">
        <v>299</v>
      </c>
      <c r="J97"/>
      <c r="K97"/>
    </row>
    <row r="98" spans="1:11" ht="15.75" customHeight="1" x14ac:dyDescent="0.25">
      <c r="A98" s="17" t="s">
        <v>454</v>
      </c>
      <c r="B98" s="129">
        <v>117.14</v>
      </c>
      <c r="C98" s="18" t="s">
        <v>8</v>
      </c>
      <c r="D98" s="18" t="s">
        <v>22</v>
      </c>
      <c r="E98" s="17" t="s">
        <v>12</v>
      </c>
      <c r="F98" s="26">
        <v>45845</v>
      </c>
      <c r="G98" s="27" t="s">
        <v>293</v>
      </c>
      <c r="J98"/>
      <c r="K98"/>
    </row>
    <row r="99" spans="1:11" ht="15.75" customHeight="1" x14ac:dyDescent="0.25">
      <c r="A99" s="17" t="s">
        <v>608</v>
      </c>
      <c r="B99" s="129">
        <v>151.4</v>
      </c>
      <c r="C99" s="18" t="s">
        <v>8</v>
      </c>
      <c r="D99" s="18" t="s">
        <v>118</v>
      </c>
      <c r="E99" s="17" t="s">
        <v>12</v>
      </c>
      <c r="F99" s="26">
        <v>45845</v>
      </c>
      <c r="G99" s="27" t="s">
        <v>293</v>
      </c>
      <c r="J99"/>
      <c r="K99"/>
    </row>
    <row r="100" spans="1:11" ht="15.75" customHeight="1" x14ac:dyDescent="0.25">
      <c r="A100" s="17" t="s">
        <v>609</v>
      </c>
      <c r="B100" s="129">
        <v>54</v>
      </c>
      <c r="C100" s="18" t="s">
        <v>8</v>
      </c>
      <c r="D100" s="18" t="s">
        <v>118</v>
      </c>
      <c r="E100" s="17" t="s">
        <v>12</v>
      </c>
      <c r="F100" s="26">
        <v>45845</v>
      </c>
      <c r="G100" s="27" t="s">
        <v>293</v>
      </c>
      <c r="J100"/>
      <c r="K100"/>
    </row>
    <row r="101" spans="1:11" ht="15.75" customHeight="1" x14ac:dyDescent="0.25">
      <c r="A101" s="17" t="s">
        <v>610</v>
      </c>
      <c r="B101" s="129">
        <v>26</v>
      </c>
      <c r="C101" s="18" t="s">
        <v>8</v>
      </c>
      <c r="D101" s="18" t="s">
        <v>36</v>
      </c>
      <c r="E101" s="17" t="s">
        <v>12</v>
      </c>
      <c r="F101" s="26">
        <v>45845</v>
      </c>
      <c r="G101" s="27" t="s">
        <v>293</v>
      </c>
      <c r="J101"/>
      <c r="K101"/>
    </row>
    <row r="102" spans="1:11" ht="15.75" customHeight="1" x14ac:dyDescent="0.25">
      <c r="A102" s="17" t="s">
        <v>120</v>
      </c>
      <c r="B102" s="129">
        <v>48.36</v>
      </c>
      <c r="C102" s="18" t="s">
        <v>8</v>
      </c>
      <c r="D102" s="18" t="s">
        <v>31</v>
      </c>
      <c r="E102" s="17" t="s">
        <v>12</v>
      </c>
      <c r="F102" s="26">
        <v>45845</v>
      </c>
      <c r="G102" s="27" t="s">
        <v>293</v>
      </c>
      <c r="J102"/>
      <c r="K102"/>
    </row>
    <row r="103" spans="1:11" ht="15.75" customHeight="1" x14ac:dyDescent="0.25">
      <c r="A103" s="17" t="s">
        <v>611</v>
      </c>
      <c r="B103" s="129">
        <v>49.9</v>
      </c>
      <c r="C103" s="18" t="s">
        <v>8</v>
      </c>
      <c r="D103" s="18" t="s">
        <v>36</v>
      </c>
      <c r="E103" s="17" t="s">
        <v>12</v>
      </c>
      <c r="F103" s="26">
        <v>45846</v>
      </c>
      <c r="G103" s="27" t="s">
        <v>293</v>
      </c>
      <c r="J103"/>
      <c r="K103"/>
    </row>
    <row r="104" spans="1:11" ht="15.75" customHeight="1" x14ac:dyDescent="0.25">
      <c r="A104" s="17" t="s">
        <v>612</v>
      </c>
      <c r="B104" s="129">
        <v>16.39</v>
      </c>
      <c r="C104" s="18" t="s">
        <v>8</v>
      </c>
      <c r="D104" s="18" t="s">
        <v>36</v>
      </c>
      <c r="E104" s="17" t="s">
        <v>12</v>
      </c>
      <c r="F104" s="26">
        <v>45846</v>
      </c>
      <c r="G104" s="27" t="s">
        <v>293</v>
      </c>
      <c r="J104"/>
      <c r="K104"/>
    </row>
    <row r="105" spans="1:11" ht="15.75" customHeight="1" x14ac:dyDescent="0.25">
      <c r="A105" s="17" t="s">
        <v>141</v>
      </c>
      <c r="B105" s="129">
        <v>50</v>
      </c>
      <c r="C105" s="18" t="s">
        <v>8</v>
      </c>
      <c r="D105" s="18" t="s">
        <v>31</v>
      </c>
      <c r="E105" s="17" t="s">
        <v>12</v>
      </c>
      <c r="F105" s="26">
        <v>45846</v>
      </c>
      <c r="G105" s="27" t="s">
        <v>293</v>
      </c>
      <c r="J105"/>
      <c r="K105"/>
    </row>
    <row r="106" spans="1:11" ht="15.75" customHeight="1" x14ac:dyDescent="0.25">
      <c r="A106" s="17" t="s">
        <v>43</v>
      </c>
      <c r="B106" s="133">
        <v>166.88</v>
      </c>
      <c r="C106" s="18" t="s">
        <v>8</v>
      </c>
      <c r="D106" s="18" t="s">
        <v>31</v>
      </c>
      <c r="E106" s="17" t="s">
        <v>12</v>
      </c>
      <c r="F106" s="26">
        <v>45847</v>
      </c>
      <c r="G106" s="27" t="s">
        <v>293</v>
      </c>
      <c r="J106"/>
      <c r="K106"/>
    </row>
    <row r="107" spans="1:11" ht="15.75" customHeight="1" x14ac:dyDescent="0.25">
      <c r="A107" s="17" t="s">
        <v>615</v>
      </c>
      <c r="B107" s="133">
        <v>5.95</v>
      </c>
      <c r="C107" s="18" t="s">
        <v>8</v>
      </c>
      <c r="D107" s="18" t="s">
        <v>36</v>
      </c>
      <c r="E107" s="17" t="s">
        <v>12</v>
      </c>
      <c r="F107" s="26">
        <v>45847</v>
      </c>
      <c r="G107" s="27" t="s">
        <v>293</v>
      </c>
      <c r="J107"/>
      <c r="K107"/>
    </row>
    <row r="108" spans="1:11" ht="15.75" customHeight="1" x14ac:dyDescent="0.25">
      <c r="A108" s="17" t="s">
        <v>616</v>
      </c>
      <c r="B108" s="133">
        <v>37.18</v>
      </c>
      <c r="C108" s="18" t="s">
        <v>8</v>
      </c>
      <c r="D108" s="18" t="s">
        <v>16</v>
      </c>
      <c r="E108" s="17" t="s">
        <v>12</v>
      </c>
      <c r="F108" s="26">
        <v>45847</v>
      </c>
      <c r="G108" s="27" t="s">
        <v>293</v>
      </c>
      <c r="J108"/>
      <c r="K108"/>
    </row>
    <row r="109" spans="1:11" ht="15.75" customHeight="1" x14ac:dyDescent="0.25">
      <c r="A109" s="17" t="s">
        <v>454</v>
      </c>
      <c r="B109" s="133">
        <v>40.630000000000003</v>
      </c>
      <c r="C109" s="18" t="s">
        <v>8</v>
      </c>
      <c r="D109" s="18" t="s">
        <v>22</v>
      </c>
      <c r="E109" s="17" t="s">
        <v>12</v>
      </c>
      <c r="F109" s="26">
        <v>45848</v>
      </c>
      <c r="G109" s="27" t="s">
        <v>303</v>
      </c>
      <c r="J109"/>
      <c r="K109"/>
    </row>
    <row r="110" spans="1:11" ht="15.75" customHeight="1" x14ac:dyDescent="0.25">
      <c r="A110" s="17" t="s">
        <v>602</v>
      </c>
      <c r="B110" s="133">
        <v>17.79</v>
      </c>
      <c r="C110" s="18" t="s">
        <v>8</v>
      </c>
      <c r="D110" s="18" t="s">
        <v>22</v>
      </c>
      <c r="E110" s="17" t="s">
        <v>12</v>
      </c>
      <c r="F110" s="26">
        <v>45849</v>
      </c>
      <c r="G110" s="27" t="s">
        <v>293</v>
      </c>
      <c r="J110"/>
      <c r="K110"/>
    </row>
    <row r="111" spans="1:11" ht="15.75" customHeight="1" x14ac:dyDescent="0.25">
      <c r="A111" s="17" t="s">
        <v>617</v>
      </c>
      <c r="B111" s="133">
        <v>165.41</v>
      </c>
      <c r="C111" s="18" t="s">
        <v>8</v>
      </c>
      <c r="D111" s="18" t="s">
        <v>61</v>
      </c>
      <c r="E111" s="17" t="s">
        <v>12</v>
      </c>
      <c r="F111" s="26">
        <v>45849</v>
      </c>
      <c r="G111" s="27" t="s">
        <v>293</v>
      </c>
      <c r="J111"/>
      <c r="K111"/>
    </row>
    <row r="112" spans="1:11" ht="15.75" customHeight="1" x14ac:dyDescent="0.25">
      <c r="A112" s="17" t="s">
        <v>618</v>
      </c>
      <c r="B112" s="133">
        <v>119.82</v>
      </c>
      <c r="C112" s="18" t="s">
        <v>8</v>
      </c>
      <c r="D112" s="18" t="s">
        <v>117</v>
      </c>
      <c r="E112" s="17" t="s">
        <v>12</v>
      </c>
      <c r="F112" s="26">
        <v>45849</v>
      </c>
      <c r="G112" s="27" t="s">
        <v>293</v>
      </c>
      <c r="J112"/>
      <c r="K112"/>
    </row>
    <row r="113" spans="1:11" ht="15.75" customHeight="1" x14ac:dyDescent="0.25">
      <c r="A113" s="17" t="s">
        <v>619</v>
      </c>
      <c r="B113" s="133">
        <v>77.98</v>
      </c>
      <c r="C113" s="18" t="s">
        <v>8</v>
      </c>
      <c r="D113" s="18" t="s">
        <v>16</v>
      </c>
      <c r="E113" s="17" t="s">
        <v>12</v>
      </c>
      <c r="F113" s="26">
        <v>45849</v>
      </c>
      <c r="G113" s="27" t="s">
        <v>293</v>
      </c>
      <c r="J113"/>
      <c r="K113"/>
    </row>
    <row r="114" spans="1:11" ht="15.75" customHeight="1" x14ac:dyDescent="0.25">
      <c r="A114" s="17" t="s">
        <v>620</v>
      </c>
      <c r="B114" s="133">
        <v>129.54666666666665</v>
      </c>
      <c r="C114" s="18" t="s">
        <v>8</v>
      </c>
      <c r="D114" s="18" t="s">
        <v>16</v>
      </c>
      <c r="E114" s="17" t="s">
        <v>12</v>
      </c>
      <c r="F114" s="26">
        <v>45849</v>
      </c>
      <c r="G114" s="27" t="s">
        <v>303</v>
      </c>
      <c r="J114"/>
      <c r="K114"/>
    </row>
    <row r="115" spans="1:11" ht="15.75" customHeight="1" x14ac:dyDescent="0.25">
      <c r="A115" s="17" t="s">
        <v>621</v>
      </c>
      <c r="B115" s="133">
        <v>20.82</v>
      </c>
      <c r="C115" s="18" t="s">
        <v>8</v>
      </c>
      <c r="D115" s="18" t="s">
        <v>114</v>
      </c>
      <c r="E115" s="17" t="s">
        <v>12</v>
      </c>
      <c r="F115" s="26">
        <v>45850</v>
      </c>
      <c r="G115" s="27" t="s">
        <v>293</v>
      </c>
      <c r="J115"/>
      <c r="K115"/>
    </row>
    <row r="116" spans="1:11" ht="15.75" customHeight="1" x14ac:dyDescent="0.25">
      <c r="A116" s="17" t="s">
        <v>120</v>
      </c>
      <c r="B116" s="133">
        <v>10.08</v>
      </c>
      <c r="C116" s="18" t="s">
        <v>8</v>
      </c>
      <c r="D116" s="18" t="s">
        <v>31</v>
      </c>
      <c r="E116" s="17" t="s">
        <v>12</v>
      </c>
      <c r="F116" s="26">
        <v>45850</v>
      </c>
      <c r="G116" s="27" t="s">
        <v>293</v>
      </c>
      <c r="J116"/>
      <c r="K116"/>
    </row>
    <row r="117" spans="1:11" ht="15.75" customHeight="1" x14ac:dyDescent="0.25">
      <c r="A117" s="17" t="s">
        <v>120</v>
      </c>
      <c r="B117" s="133">
        <v>16.32</v>
      </c>
      <c r="C117" s="18" t="s">
        <v>8</v>
      </c>
      <c r="D117" s="18" t="s">
        <v>31</v>
      </c>
      <c r="E117" s="17" t="s">
        <v>12</v>
      </c>
      <c r="F117" s="26">
        <v>45850</v>
      </c>
      <c r="G117" s="27" t="s">
        <v>293</v>
      </c>
      <c r="J117"/>
      <c r="K117"/>
    </row>
    <row r="118" spans="1:11" ht="15.75" customHeight="1" x14ac:dyDescent="0.25">
      <c r="A118" s="17" t="s">
        <v>552</v>
      </c>
      <c r="B118" s="133">
        <v>38</v>
      </c>
      <c r="C118" s="18" t="s">
        <v>8</v>
      </c>
      <c r="D118" s="18" t="s">
        <v>26</v>
      </c>
      <c r="E118" s="17" t="s">
        <v>17</v>
      </c>
      <c r="F118" s="26">
        <v>45850</v>
      </c>
      <c r="G118" s="27" t="s">
        <v>293</v>
      </c>
      <c r="J118"/>
      <c r="K118"/>
    </row>
    <row r="119" spans="1:11" ht="15.75" customHeight="1" x14ac:dyDescent="0.25">
      <c r="A119" s="17" t="s">
        <v>430</v>
      </c>
      <c r="B119" s="133">
        <v>50</v>
      </c>
      <c r="C119" s="18" t="s">
        <v>8</v>
      </c>
      <c r="D119" s="18" t="s">
        <v>31</v>
      </c>
      <c r="E119" s="17" t="s">
        <v>17</v>
      </c>
      <c r="F119" s="26">
        <v>45850</v>
      </c>
      <c r="G119" s="27" t="s">
        <v>293</v>
      </c>
      <c r="J119"/>
      <c r="K119"/>
    </row>
    <row r="120" spans="1:11" ht="15.75" customHeight="1" x14ac:dyDescent="0.25">
      <c r="A120" s="17" t="s">
        <v>459</v>
      </c>
      <c r="B120" s="133">
        <v>20</v>
      </c>
      <c r="C120" s="18" t="s">
        <v>8</v>
      </c>
      <c r="D120" s="18" t="s">
        <v>36</v>
      </c>
      <c r="E120" s="17" t="s">
        <v>12</v>
      </c>
      <c r="F120" s="26">
        <v>45851</v>
      </c>
      <c r="G120" s="27" t="s">
        <v>293</v>
      </c>
    </row>
    <row r="121" spans="1:11" ht="15.75" customHeight="1" x14ac:dyDescent="0.25">
      <c r="A121" s="17" t="s">
        <v>622</v>
      </c>
      <c r="B121" s="133">
        <v>156.22</v>
      </c>
      <c r="C121" s="18" t="s">
        <v>8</v>
      </c>
      <c r="D121" s="18" t="s">
        <v>16</v>
      </c>
      <c r="E121" s="17" t="s">
        <v>12</v>
      </c>
      <c r="F121" s="26">
        <v>45851</v>
      </c>
      <c r="G121" s="27" t="s">
        <v>293</v>
      </c>
    </row>
    <row r="122" spans="1:11" ht="15.75" customHeight="1" x14ac:dyDescent="0.25">
      <c r="A122" s="17" t="s">
        <v>120</v>
      </c>
      <c r="B122" s="133">
        <v>16.09</v>
      </c>
      <c r="C122" s="18" t="s">
        <v>8</v>
      </c>
      <c r="D122" s="18" t="s">
        <v>31</v>
      </c>
      <c r="E122" s="17" t="s">
        <v>12</v>
      </c>
      <c r="F122" s="26">
        <v>45851</v>
      </c>
      <c r="G122" s="27" t="s">
        <v>293</v>
      </c>
    </row>
    <row r="123" spans="1:11" ht="15.75" customHeight="1" x14ac:dyDescent="0.25">
      <c r="A123" s="17" t="s">
        <v>163</v>
      </c>
      <c r="B123" s="133">
        <v>69.900000000000006</v>
      </c>
      <c r="C123" s="18" t="s">
        <v>8</v>
      </c>
      <c r="D123" s="18" t="s">
        <v>26</v>
      </c>
      <c r="E123" s="17" t="s">
        <v>17</v>
      </c>
      <c r="F123" s="26">
        <v>45851</v>
      </c>
      <c r="G123" s="27" t="s">
        <v>293</v>
      </c>
    </row>
    <row r="124" spans="1:11" ht="15.75" customHeight="1" x14ac:dyDescent="0.25">
      <c r="A124" s="17" t="s">
        <v>623</v>
      </c>
      <c r="B124" s="133">
        <v>89</v>
      </c>
      <c r="C124" s="18" t="s">
        <v>8</v>
      </c>
      <c r="D124" s="18" t="s">
        <v>20</v>
      </c>
      <c r="E124" s="17" t="s">
        <v>12</v>
      </c>
      <c r="F124" s="26">
        <v>45852</v>
      </c>
      <c r="G124" s="27" t="s">
        <v>294</v>
      </c>
    </row>
    <row r="125" spans="1:11" ht="15.75" customHeight="1" x14ac:dyDescent="0.25">
      <c r="A125" s="17" t="s">
        <v>624</v>
      </c>
      <c r="B125" s="134">
        <v>153.03</v>
      </c>
      <c r="C125" s="18" t="s">
        <v>8</v>
      </c>
      <c r="D125" s="18" t="s">
        <v>517</v>
      </c>
      <c r="E125" s="17" t="s">
        <v>17</v>
      </c>
      <c r="F125" s="26">
        <v>45852</v>
      </c>
      <c r="G125" s="27" t="s">
        <v>303</v>
      </c>
    </row>
    <row r="126" spans="1:11" ht="15.75" customHeight="1" x14ac:dyDescent="0.25">
      <c r="A126" s="17" t="s">
        <v>627</v>
      </c>
      <c r="B126" s="138">
        <v>32.497500000000002</v>
      </c>
      <c r="C126" s="18" t="s">
        <v>8</v>
      </c>
      <c r="D126" s="18" t="s">
        <v>22</v>
      </c>
      <c r="E126" s="17" t="s">
        <v>12</v>
      </c>
      <c r="F126" s="26">
        <v>45852</v>
      </c>
      <c r="G126" s="27" t="s">
        <v>299</v>
      </c>
    </row>
    <row r="127" spans="1:11" ht="15.75" customHeight="1" x14ac:dyDescent="0.25">
      <c r="A127" s="17" t="s">
        <v>562</v>
      </c>
      <c r="B127" s="138">
        <v>26.9</v>
      </c>
      <c r="C127" s="18" t="s">
        <v>8</v>
      </c>
      <c r="D127" s="18" t="s">
        <v>20</v>
      </c>
      <c r="E127" s="17" t="s">
        <v>12</v>
      </c>
      <c r="F127" s="26">
        <v>45852</v>
      </c>
      <c r="G127" s="27" t="s">
        <v>293</v>
      </c>
    </row>
    <row r="128" spans="1:11" ht="15.75" customHeight="1" x14ac:dyDescent="0.25">
      <c r="A128" s="17" t="s">
        <v>628</v>
      </c>
      <c r="B128" s="138">
        <v>49.45</v>
      </c>
      <c r="C128" s="18" t="s">
        <v>8</v>
      </c>
      <c r="D128" s="18" t="s">
        <v>22</v>
      </c>
      <c r="E128" s="17" t="s">
        <v>12</v>
      </c>
      <c r="F128" s="26">
        <v>45853</v>
      </c>
      <c r="G128" s="27" t="s">
        <v>397</v>
      </c>
    </row>
    <row r="129" spans="1:7" ht="15.75" customHeight="1" x14ac:dyDescent="0.25">
      <c r="A129" s="17" t="s">
        <v>468</v>
      </c>
      <c r="B129" s="138">
        <v>5.95</v>
      </c>
      <c r="C129" s="18" t="s">
        <v>8</v>
      </c>
      <c r="D129" s="18" t="s">
        <v>36</v>
      </c>
      <c r="E129" s="17" t="s">
        <v>17</v>
      </c>
      <c r="F129" s="26">
        <v>45853</v>
      </c>
      <c r="G129" s="27" t="s">
        <v>293</v>
      </c>
    </row>
    <row r="130" spans="1:7" ht="15.75" customHeight="1" x14ac:dyDescent="0.25">
      <c r="A130" s="17" t="s">
        <v>626</v>
      </c>
      <c r="B130" s="138">
        <v>136.0575</v>
      </c>
      <c r="C130" s="18" t="s">
        <v>8</v>
      </c>
      <c r="D130" s="18" t="s">
        <v>517</v>
      </c>
      <c r="E130" s="17" t="s">
        <v>17</v>
      </c>
      <c r="F130" s="26">
        <v>45853</v>
      </c>
      <c r="G130" s="27" t="s">
        <v>294</v>
      </c>
    </row>
    <row r="131" spans="1:7" ht="15.75" customHeight="1" x14ac:dyDescent="0.25">
      <c r="A131" s="17" t="s">
        <v>629</v>
      </c>
      <c r="B131" s="138">
        <v>413.28</v>
      </c>
      <c r="C131" s="18" t="s">
        <v>8</v>
      </c>
      <c r="D131" s="18" t="s">
        <v>114</v>
      </c>
      <c r="E131" s="17" t="s">
        <v>12</v>
      </c>
      <c r="F131" s="26">
        <v>45853</v>
      </c>
      <c r="G131" s="27" t="s">
        <v>293</v>
      </c>
    </row>
    <row r="132" spans="1:7" ht="15.75" customHeight="1" x14ac:dyDescent="0.25">
      <c r="A132" s="17" t="s">
        <v>630</v>
      </c>
      <c r="B132" s="138">
        <v>19.47</v>
      </c>
      <c r="C132" s="18" t="s">
        <v>8</v>
      </c>
      <c r="D132" s="18" t="s">
        <v>11</v>
      </c>
      <c r="E132" s="17" t="s">
        <v>12</v>
      </c>
      <c r="F132" s="26">
        <v>45853</v>
      </c>
      <c r="G132" s="27" t="s">
        <v>293</v>
      </c>
    </row>
    <row r="133" spans="1:7" ht="15.75" customHeight="1" x14ac:dyDescent="0.25">
      <c r="A133" s="17" t="s">
        <v>630</v>
      </c>
      <c r="B133" s="138">
        <v>21.9</v>
      </c>
      <c r="C133" s="18" t="s">
        <v>8</v>
      </c>
      <c r="D133" s="18" t="s">
        <v>11</v>
      </c>
      <c r="E133" s="17" t="s">
        <v>12</v>
      </c>
      <c r="F133" s="26">
        <v>45853</v>
      </c>
      <c r="G133" s="27" t="s">
        <v>293</v>
      </c>
    </row>
    <row r="134" spans="1:7" ht="15.75" customHeight="1" x14ac:dyDescent="0.25">
      <c r="A134" s="17" t="s">
        <v>631</v>
      </c>
      <c r="B134" s="138">
        <v>75.993333333333325</v>
      </c>
      <c r="C134" s="18" t="s">
        <v>8</v>
      </c>
      <c r="D134" s="18" t="s">
        <v>22</v>
      </c>
      <c r="E134" s="17" t="s">
        <v>12</v>
      </c>
      <c r="F134" s="26">
        <v>45854</v>
      </c>
      <c r="G134" s="27" t="s">
        <v>303</v>
      </c>
    </row>
    <row r="135" spans="1:7" ht="15.75" customHeight="1" x14ac:dyDescent="0.25">
      <c r="A135" s="17" t="s">
        <v>632</v>
      </c>
      <c r="B135" s="138">
        <v>81.563999999999993</v>
      </c>
      <c r="C135" s="18" t="s">
        <v>8</v>
      </c>
      <c r="D135" s="18" t="s">
        <v>11</v>
      </c>
      <c r="E135" s="17" t="s">
        <v>12</v>
      </c>
      <c r="F135" s="26">
        <v>45854</v>
      </c>
      <c r="G135" s="27" t="s">
        <v>491</v>
      </c>
    </row>
    <row r="136" spans="1:7" ht="15.75" customHeight="1" x14ac:dyDescent="0.25">
      <c r="A136" s="17" t="s">
        <v>633</v>
      </c>
      <c r="B136" s="138">
        <v>42.616666666666667</v>
      </c>
      <c r="C136" s="18" t="s">
        <v>8</v>
      </c>
      <c r="D136" s="18" t="s">
        <v>11</v>
      </c>
      <c r="E136" s="17" t="s">
        <v>12</v>
      </c>
      <c r="F136" s="26">
        <v>45854</v>
      </c>
      <c r="G136" s="27" t="s">
        <v>386</v>
      </c>
    </row>
    <row r="137" spans="1:7" ht="15.75" customHeight="1" x14ac:dyDescent="0.25">
      <c r="A137" s="17" t="s">
        <v>634</v>
      </c>
      <c r="B137" s="139">
        <v>30</v>
      </c>
      <c r="C137" s="18" t="s">
        <v>8</v>
      </c>
      <c r="D137" s="18" t="s">
        <v>11</v>
      </c>
      <c r="E137" s="17" t="s">
        <v>12</v>
      </c>
      <c r="F137" s="26">
        <v>45854</v>
      </c>
      <c r="G137" s="27" t="s">
        <v>491</v>
      </c>
    </row>
    <row r="138" spans="1:7" ht="15.75" customHeight="1" x14ac:dyDescent="0.25">
      <c r="A138" s="17" t="s">
        <v>635</v>
      </c>
      <c r="B138" s="139">
        <v>100</v>
      </c>
      <c r="C138" s="18" t="s">
        <v>8</v>
      </c>
      <c r="D138" s="18" t="s">
        <v>517</v>
      </c>
      <c r="E138" s="17" t="s">
        <v>12</v>
      </c>
      <c r="F138" s="26">
        <v>45855</v>
      </c>
      <c r="G138" s="27" t="s">
        <v>293</v>
      </c>
    </row>
    <row r="139" spans="1:7" ht="15.75" customHeight="1" x14ac:dyDescent="0.25">
      <c r="A139" s="17" t="s">
        <v>120</v>
      </c>
      <c r="B139" s="139">
        <v>39.119999999999997</v>
      </c>
      <c r="C139" s="18" t="s">
        <v>8</v>
      </c>
      <c r="D139" s="18" t="s">
        <v>31</v>
      </c>
      <c r="E139" s="17" t="s">
        <v>12</v>
      </c>
      <c r="F139" s="26">
        <v>45855</v>
      </c>
      <c r="G139" s="27" t="s">
        <v>293</v>
      </c>
    </row>
    <row r="140" spans="1:7" ht="15.75" customHeight="1" x14ac:dyDescent="0.25">
      <c r="A140" s="17" t="s">
        <v>637</v>
      </c>
      <c r="B140" s="143">
        <v>144.74666666666667</v>
      </c>
      <c r="C140" s="18" t="s">
        <v>8</v>
      </c>
      <c r="D140" s="18" t="s">
        <v>517</v>
      </c>
      <c r="E140" s="17" t="s">
        <v>12</v>
      </c>
      <c r="F140" s="26">
        <v>45855</v>
      </c>
      <c r="G140" s="27" t="s">
        <v>303</v>
      </c>
    </row>
    <row r="141" spans="1:7" ht="15.75" customHeight="1" x14ac:dyDescent="0.25">
      <c r="A141" s="17" t="s">
        <v>638</v>
      </c>
      <c r="B141" s="143">
        <v>174.9</v>
      </c>
      <c r="C141" s="18" t="s">
        <v>8</v>
      </c>
      <c r="D141" s="18" t="s">
        <v>61</v>
      </c>
      <c r="E141" s="17" t="s">
        <v>12</v>
      </c>
      <c r="F141" s="26">
        <v>45855</v>
      </c>
      <c r="G141" s="27" t="s">
        <v>293</v>
      </c>
    </row>
    <row r="142" spans="1:7" ht="15.75" customHeight="1" x14ac:dyDescent="0.25">
      <c r="A142" s="17" t="s">
        <v>650</v>
      </c>
      <c r="B142" s="143">
        <v>7.9</v>
      </c>
      <c r="C142" s="18" t="s">
        <v>8</v>
      </c>
      <c r="D142" s="18" t="s">
        <v>31</v>
      </c>
      <c r="E142" s="17" t="s">
        <v>17</v>
      </c>
      <c r="F142" s="26">
        <v>45855</v>
      </c>
      <c r="G142" s="27" t="s">
        <v>293</v>
      </c>
    </row>
    <row r="143" spans="1:7" ht="15.75" customHeight="1" x14ac:dyDescent="0.25">
      <c r="A143" s="17" t="s">
        <v>639</v>
      </c>
      <c r="B143" s="143">
        <v>26.89</v>
      </c>
      <c r="C143" s="18" t="s">
        <v>8</v>
      </c>
      <c r="D143" s="18" t="s">
        <v>16</v>
      </c>
      <c r="E143" s="17" t="s">
        <v>12</v>
      </c>
      <c r="F143" s="26">
        <v>45856</v>
      </c>
      <c r="G143" s="27" t="s">
        <v>293</v>
      </c>
    </row>
    <row r="144" spans="1:7" ht="15.75" customHeight="1" x14ac:dyDescent="0.25">
      <c r="A144" s="17" t="s">
        <v>640</v>
      </c>
      <c r="B144" s="143">
        <v>15.8</v>
      </c>
      <c r="C144" s="18" t="s">
        <v>8</v>
      </c>
      <c r="D144" s="18" t="s">
        <v>31</v>
      </c>
      <c r="E144" s="17" t="s">
        <v>12</v>
      </c>
      <c r="F144" s="26">
        <v>45856</v>
      </c>
      <c r="G144" s="27" t="s">
        <v>293</v>
      </c>
    </row>
    <row r="145" spans="1:7" ht="15.75" customHeight="1" x14ac:dyDescent="0.25">
      <c r="A145" s="17" t="s">
        <v>641</v>
      </c>
      <c r="B145" s="143">
        <v>79.989999999999995</v>
      </c>
      <c r="C145" s="18" t="s">
        <v>8</v>
      </c>
      <c r="D145" s="18" t="s">
        <v>11</v>
      </c>
      <c r="E145" s="17" t="s">
        <v>12</v>
      </c>
      <c r="F145" s="26">
        <v>45856</v>
      </c>
      <c r="G145" s="27" t="s">
        <v>293</v>
      </c>
    </row>
    <row r="146" spans="1:7" ht="15.75" customHeight="1" x14ac:dyDescent="0.25">
      <c r="A146" s="17" t="s">
        <v>642</v>
      </c>
      <c r="B146" s="143">
        <v>49.8</v>
      </c>
      <c r="C146" s="18" t="s">
        <v>8</v>
      </c>
      <c r="D146" s="18" t="s">
        <v>11</v>
      </c>
      <c r="E146" s="17" t="s">
        <v>12</v>
      </c>
      <c r="F146" s="26">
        <v>45856</v>
      </c>
      <c r="G146" s="27" t="s">
        <v>293</v>
      </c>
    </row>
    <row r="147" spans="1:7" ht="15.75" customHeight="1" x14ac:dyDescent="0.25">
      <c r="A147" s="17" t="s">
        <v>649</v>
      </c>
      <c r="B147" s="143">
        <v>411.48</v>
      </c>
      <c r="C147" s="18" t="s">
        <v>8</v>
      </c>
      <c r="D147" s="18" t="s">
        <v>118</v>
      </c>
      <c r="E147" s="17" t="s">
        <v>17</v>
      </c>
      <c r="F147" s="26">
        <v>45856</v>
      </c>
      <c r="G147" s="27" t="s">
        <v>294</v>
      </c>
    </row>
    <row r="148" spans="1:7" ht="15.75" customHeight="1" x14ac:dyDescent="0.25">
      <c r="A148" s="17" t="s">
        <v>120</v>
      </c>
      <c r="B148" s="143">
        <v>16.91</v>
      </c>
      <c r="C148" s="18" t="s">
        <v>8</v>
      </c>
      <c r="D148" s="18" t="s">
        <v>31</v>
      </c>
      <c r="E148" s="17" t="s">
        <v>12</v>
      </c>
      <c r="F148" s="26">
        <v>45857</v>
      </c>
      <c r="G148" s="27" t="s">
        <v>293</v>
      </c>
    </row>
    <row r="149" spans="1:7" ht="15.75" customHeight="1" x14ac:dyDescent="0.25">
      <c r="A149" s="17" t="s">
        <v>643</v>
      </c>
      <c r="B149" s="143">
        <v>44</v>
      </c>
      <c r="C149" s="18" t="s">
        <v>8</v>
      </c>
      <c r="D149" s="18" t="s">
        <v>36</v>
      </c>
      <c r="E149" s="17" t="s">
        <v>12</v>
      </c>
      <c r="F149" s="26">
        <v>45857</v>
      </c>
      <c r="G149" s="27" t="s">
        <v>293</v>
      </c>
    </row>
    <row r="150" spans="1:7" ht="15.75" customHeight="1" x14ac:dyDescent="0.25">
      <c r="A150" s="17" t="s">
        <v>120</v>
      </c>
      <c r="B150" s="143">
        <v>25.98</v>
      </c>
      <c r="C150" s="18" t="s">
        <v>8</v>
      </c>
      <c r="D150" s="18" t="s">
        <v>31</v>
      </c>
      <c r="E150" s="17" t="s">
        <v>12</v>
      </c>
      <c r="F150" s="26">
        <v>45857</v>
      </c>
      <c r="G150" s="27" t="s">
        <v>293</v>
      </c>
    </row>
    <row r="151" spans="1:7" ht="15.75" customHeight="1" x14ac:dyDescent="0.25">
      <c r="A151" s="17" t="s">
        <v>120</v>
      </c>
      <c r="B151" s="143">
        <v>9.9499999999999993</v>
      </c>
      <c r="C151" s="18" t="s">
        <v>8</v>
      </c>
      <c r="D151" s="18" t="s">
        <v>31</v>
      </c>
      <c r="E151" s="17" t="s">
        <v>12</v>
      </c>
      <c r="F151" s="26">
        <v>45857</v>
      </c>
      <c r="G151" s="27" t="s">
        <v>293</v>
      </c>
    </row>
    <row r="152" spans="1:7" ht="15.75" customHeight="1" x14ac:dyDescent="0.25">
      <c r="A152" s="17" t="s">
        <v>640</v>
      </c>
      <c r="B152" s="143">
        <v>15.8</v>
      </c>
      <c r="C152" s="18" t="s">
        <v>8</v>
      </c>
      <c r="D152" s="18" t="s">
        <v>31</v>
      </c>
      <c r="E152" s="17" t="s">
        <v>12</v>
      </c>
      <c r="F152" s="26">
        <v>45857</v>
      </c>
      <c r="G152" s="27" t="s">
        <v>293</v>
      </c>
    </row>
    <row r="153" spans="1:7" ht="15.75" customHeight="1" x14ac:dyDescent="0.25">
      <c r="A153" s="17" t="s">
        <v>644</v>
      </c>
      <c r="B153" s="143">
        <v>61.5</v>
      </c>
      <c r="C153" s="18" t="s">
        <v>8</v>
      </c>
      <c r="D153" s="18" t="s">
        <v>36</v>
      </c>
      <c r="E153" s="17" t="s">
        <v>12</v>
      </c>
      <c r="F153" s="26">
        <v>45857</v>
      </c>
      <c r="G153" s="27" t="s">
        <v>293</v>
      </c>
    </row>
    <row r="154" spans="1:7" ht="15.75" customHeight="1" x14ac:dyDescent="0.25">
      <c r="A154" s="17" t="s">
        <v>644</v>
      </c>
      <c r="B154" s="143">
        <v>9.5</v>
      </c>
      <c r="C154" s="18" t="s">
        <v>8</v>
      </c>
      <c r="D154" s="18" t="s">
        <v>36</v>
      </c>
      <c r="E154" s="17" t="s">
        <v>12</v>
      </c>
      <c r="F154" s="26">
        <v>45857</v>
      </c>
      <c r="G154" s="27" t="s">
        <v>293</v>
      </c>
    </row>
    <row r="155" spans="1:7" ht="15.75" customHeight="1" x14ac:dyDescent="0.25">
      <c r="A155" s="17" t="s">
        <v>511</v>
      </c>
      <c r="B155" s="143">
        <v>24.5</v>
      </c>
      <c r="C155" s="18" t="s">
        <v>8</v>
      </c>
      <c r="D155" s="18" t="s">
        <v>31</v>
      </c>
      <c r="E155" s="17" t="s">
        <v>12</v>
      </c>
      <c r="F155" s="26">
        <v>45857</v>
      </c>
      <c r="G155" s="27" t="s">
        <v>293</v>
      </c>
    </row>
    <row r="156" spans="1:7" ht="15.75" customHeight="1" x14ac:dyDescent="0.25">
      <c r="A156" s="17" t="s">
        <v>511</v>
      </c>
      <c r="B156" s="143">
        <v>32.659999999999997</v>
      </c>
      <c r="C156" s="18" t="s">
        <v>8</v>
      </c>
      <c r="D156" s="18" t="s">
        <v>31</v>
      </c>
      <c r="E156" s="17" t="s">
        <v>12</v>
      </c>
      <c r="F156" s="26">
        <v>45857</v>
      </c>
      <c r="G156" s="27" t="s">
        <v>293</v>
      </c>
    </row>
    <row r="157" spans="1:7" ht="15.75" customHeight="1" x14ac:dyDescent="0.25">
      <c r="A157" s="17" t="s">
        <v>511</v>
      </c>
      <c r="B157" s="143">
        <v>20.13</v>
      </c>
      <c r="C157" s="18" t="s">
        <v>8</v>
      </c>
      <c r="D157" s="18" t="s">
        <v>31</v>
      </c>
      <c r="E157" s="17" t="s">
        <v>12</v>
      </c>
      <c r="F157" s="26">
        <v>45857</v>
      </c>
      <c r="G157" s="27" t="s">
        <v>293</v>
      </c>
    </row>
    <row r="158" spans="1:7" ht="15.75" customHeight="1" x14ac:dyDescent="0.25">
      <c r="A158" s="17" t="s">
        <v>25</v>
      </c>
      <c r="B158" s="143">
        <v>149</v>
      </c>
      <c r="C158" s="18" t="s">
        <v>8</v>
      </c>
      <c r="D158" s="18" t="s">
        <v>26</v>
      </c>
      <c r="E158" s="17" t="s">
        <v>17</v>
      </c>
      <c r="F158" s="26">
        <v>45857</v>
      </c>
      <c r="G158" s="27" t="s">
        <v>293</v>
      </c>
    </row>
    <row r="159" spans="1:7" ht="15.75" customHeight="1" x14ac:dyDescent="0.25">
      <c r="A159" s="17" t="s">
        <v>651</v>
      </c>
      <c r="B159" s="143">
        <v>99.95</v>
      </c>
      <c r="C159" s="18" t="s">
        <v>8</v>
      </c>
      <c r="D159" s="18" t="s">
        <v>11</v>
      </c>
      <c r="E159" s="17" t="s">
        <v>17</v>
      </c>
      <c r="F159" s="26">
        <v>45857</v>
      </c>
      <c r="G159" s="27" t="s">
        <v>397</v>
      </c>
    </row>
    <row r="160" spans="1:7" ht="15.75" customHeight="1" x14ac:dyDescent="0.25">
      <c r="A160" s="17" t="s">
        <v>459</v>
      </c>
      <c r="B160" s="143">
        <v>20</v>
      </c>
      <c r="C160" s="18" t="s">
        <v>8</v>
      </c>
      <c r="D160" s="18" t="s">
        <v>36</v>
      </c>
      <c r="E160" s="17" t="s">
        <v>12</v>
      </c>
      <c r="F160" s="26">
        <v>45858</v>
      </c>
      <c r="G160" s="27" t="s">
        <v>293</v>
      </c>
    </row>
    <row r="161" spans="1:7" ht="15.75" customHeight="1" x14ac:dyDescent="0.25">
      <c r="A161" s="17" t="s">
        <v>645</v>
      </c>
      <c r="B161" s="143">
        <v>46.62</v>
      </c>
      <c r="C161" s="18" t="s">
        <v>8</v>
      </c>
      <c r="D161" s="18" t="s">
        <v>16</v>
      </c>
      <c r="E161" s="17" t="s">
        <v>12</v>
      </c>
      <c r="F161" s="26">
        <v>45858</v>
      </c>
      <c r="G161" s="27" t="s">
        <v>293</v>
      </c>
    </row>
    <row r="162" spans="1:7" ht="15.75" customHeight="1" x14ac:dyDescent="0.25">
      <c r="A162" s="17" t="s">
        <v>646</v>
      </c>
      <c r="B162" s="143">
        <v>58.8</v>
      </c>
      <c r="C162" s="18" t="s">
        <v>8</v>
      </c>
      <c r="D162" s="18" t="s">
        <v>11</v>
      </c>
      <c r="E162" s="17" t="s">
        <v>12</v>
      </c>
      <c r="F162" s="26">
        <v>45858</v>
      </c>
      <c r="G162" s="27" t="s">
        <v>293</v>
      </c>
    </row>
    <row r="163" spans="1:7" ht="15.75" customHeight="1" x14ac:dyDescent="0.25">
      <c r="A163" s="17" t="s">
        <v>511</v>
      </c>
      <c r="B163" s="143">
        <v>8.8000000000000007</v>
      </c>
      <c r="C163" s="18" t="s">
        <v>8</v>
      </c>
      <c r="D163" s="18" t="s">
        <v>31</v>
      </c>
      <c r="E163" s="17" t="s">
        <v>12</v>
      </c>
      <c r="F163" s="26">
        <v>45858</v>
      </c>
      <c r="G163" s="27" t="s">
        <v>293</v>
      </c>
    </row>
    <row r="164" spans="1:7" ht="15.75" customHeight="1" x14ac:dyDescent="0.25">
      <c r="A164" s="17" t="s">
        <v>511</v>
      </c>
      <c r="B164" s="143">
        <v>20.6</v>
      </c>
      <c r="C164" s="18" t="s">
        <v>8</v>
      </c>
      <c r="D164" s="18" t="s">
        <v>31</v>
      </c>
      <c r="E164" s="17" t="s">
        <v>12</v>
      </c>
      <c r="F164" s="26">
        <v>45858</v>
      </c>
      <c r="G164" s="27" t="s">
        <v>293</v>
      </c>
    </row>
    <row r="165" spans="1:7" ht="15.75" customHeight="1" x14ac:dyDescent="0.25">
      <c r="A165" s="17" t="s">
        <v>511</v>
      </c>
      <c r="B165" s="143">
        <v>40.82</v>
      </c>
      <c r="C165" s="18" t="s">
        <v>8</v>
      </c>
      <c r="D165" s="18" t="s">
        <v>31</v>
      </c>
      <c r="E165" s="17" t="s">
        <v>12</v>
      </c>
      <c r="F165" s="26">
        <v>45858</v>
      </c>
      <c r="G165" s="27" t="s">
        <v>293</v>
      </c>
    </row>
    <row r="166" spans="1:7" ht="15.75" customHeight="1" x14ac:dyDescent="0.25">
      <c r="A166" s="17" t="s">
        <v>647</v>
      </c>
      <c r="B166" s="143">
        <v>6.9799999999999995</v>
      </c>
      <c r="C166" s="18" t="s">
        <v>8</v>
      </c>
      <c r="D166" s="18" t="s">
        <v>31</v>
      </c>
      <c r="E166" s="17" t="s">
        <v>12</v>
      </c>
      <c r="F166" s="26">
        <v>45859</v>
      </c>
      <c r="G166" s="27" t="s">
        <v>293</v>
      </c>
    </row>
    <row r="167" spans="1:7" ht="15.75" customHeight="1" x14ac:dyDescent="0.25">
      <c r="A167" s="17" t="s">
        <v>648</v>
      </c>
      <c r="B167" s="143">
        <v>70</v>
      </c>
      <c r="C167" s="18" t="s">
        <v>8</v>
      </c>
      <c r="D167" s="18" t="s">
        <v>14</v>
      </c>
      <c r="E167" s="17" t="s">
        <v>12</v>
      </c>
      <c r="F167" s="26">
        <v>45859</v>
      </c>
      <c r="G167" s="27" t="s">
        <v>293</v>
      </c>
    </row>
    <row r="168" spans="1:7" ht="15.75" customHeight="1" x14ac:dyDescent="0.25">
      <c r="A168" s="17" t="s">
        <v>593</v>
      </c>
      <c r="B168" s="148">
        <v>214.29</v>
      </c>
      <c r="C168" s="18" t="s">
        <v>8</v>
      </c>
      <c r="D168" s="150" t="s">
        <v>16</v>
      </c>
      <c r="F168" s="26">
        <v>45860</v>
      </c>
      <c r="G168" s="27" t="s">
        <v>293</v>
      </c>
    </row>
    <row r="169" spans="1:7" ht="15.75" customHeight="1" x14ac:dyDescent="0.25">
      <c r="A169" s="17" t="s">
        <v>652</v>
      </c>
      <c r="B169" s="148">
        <v>44.5</v>
      </c>
      <c r="C169" s="18" t="s">
        <v>8</v>
      </c>
      <c r="D169" s="150" t="s">
        <v>11</v>
      </c>
      <c r="F169" s="26">
        <v>45859</v>
      </c>
      <c r="G169" s="27" t="s">
        <v>386</v>
      </c>
    </row>
    <row r="170" spans="1:7" ht="15.75" customHeight="1" x14ac:dyDescent="0.25">
      <c r="A170" s="17" t="s">
        <v>15</v>
      </c>
      <c r="B170" s="148">
        <v>84.71</v>
      </c>
      <c r="C170" s="18" t="s">
        <v>8</v>
      </c>
      <c r="D170" s="150" t="s">
        <v>16</v>
      </c>
      <c r="F170" s="26">
        <v>45860</v>
      </c>
      <c r="G170" s="27" t="s">
        <v>293</v>
      </c>
    </row>
    <row r="171" spans="1:7" ht="15.75" customHeight="1" x14ac:dyDescent="0.25">
      <c r="A171" s="17" t="s">
        <v>660</v>
      </c>
      <c r="B171" s="148">
        <v>66.239999999999995</v>
      </c>
      <c r="C171" s="18" t="s">
        <v>8</v>
      </c>
      <c r="D171" s="150" t="s">
        <v>36</v>
      </c>
      <c r="F171" s="26">
        <v>45860</v>
      </c>
      <c r="G171" s="27" t="s">
        <v>293</v>
      </c>
    </row>
    <row r="172" spans="1:7" ht="15.75" customHeight="1" x14ac:dyDescent="0.25">
      <c r="A172" s="17" t="s">
        <v>378</v>
      </c>
      <c r="B172" s="148">
        <v>32</v>
      </c>
      <c r="C172" s="18" t="s">
        <v>8</v>
      </c>
      <c r="D172" s="150" t="s">
        <v>31</v>
      </c>
      <c r="F172" s="26">
        <v>45861</v>
      </c>
      <c r="G172" s="27" t="s">
        <v>293</v>
      </c>
    </row>
    <row r="173" spans="1:7" ht="15.75" customHeight="1" x14ac:dyDescent="0.25">
      <c r="A173" s="17" t="s">
        <v>371</v>
      </c>
      <c r="B173" s="148">
        <v>71.790000000000006</v>
      </c>
      <c r="C173" s="18" t="s">
        <v>8</v>
      </c>
      <c r="D173" s="150" t="s">
        <v>14</v>
      </c>
      <c r="F173" s="26">
        <v>45861</v>
      </c>
      <c r="G173" s="27" t="s">
        <v>293</v>
      </c>
    </row>
    <row r="174" spans="1:7" ht="15.75" customHeight="1" x14ac:dyDescent="0.25">
      <c r="A174" s="17" t="s">
        <v>371</v>
      </c>
      <c r="B174" s="148">
        <v>86.46</v>
      </c>
      <c r="C174" s="18" t="s">
        <v>8</v>
      </c>
      <c r="D174" s="150" t="s">
        <v>14</v>
      </c>
      <c r="F174" s="26">
        <v>45862</v>
      </c>
      <c r="G174" s="27" t="s">
        <v>303</v>
      </c>
    </row>
    <row r="175" spans="1:7" ht="15.75" customHeight="1" x14ac:dyDescent="0.25">
      <c r="A175" s="17" t="s">
        <v>593</v>
      </c>
      <c r="B175" s="148">
        <v>43.72</v>
      </c>
      <c r="C175" s="18" t="s">
        <v>8</v>
      </c>
      <c r="D175" s="150" t="s">
        <v>16</v>
      </c>
      <c r="F175" s="26">
        <v>45862</v>
      </c>
      <c r="G175" s="27" t="s">
        <v>293</v>
      </c>
    </row>
    <row r="176" spans="1:7" ht="15.75" customHeight="1" x14ac:dyDescent="0.25">
      <c r="A176" s="17" t="s">
        <v>653</v>
      </c>
      <c r="B176" s="148">
        <v>61.666666666666664</v>
      </c>
      <c r="C176" s="18" t="s">
        <v>8</v>
      </c>
      <c r="D176" s="150" t="s">
        <v>16</v>
      </c>
      <c r="F176" s="26">
        <v>45863</v>
      </c>
      <c r="G176" s="27" t="s">
        <v>303</v>
      </c>
    </row>
    <row r="177" spans="1:7" ht="15.75" customHeight="1" x14ac:dyDescent="0.25">
      <c r="A177" s="17" t="s">
        <v>593</v>
      </c>
      <c r="B177" s="148">
        <v>209.03</v>
      </c>
      <c r="C177" s="18" t="s">
        <v>8</v>
      </c>
      <c r="D177" s="150" t="s">
        <v>16</v>
      </c>
      <c r="F177" s="26">
        <v>45863</v>
      </c>
      <c r="G177" s="27" t="s">
        <v>293</v>
      </c>
    </row>
    <row r="178" spans="1:7" ht="15.75" customHeight="1" x14ac:dyDescent="0.25">
      <c r="A178" s="17" t="s">
        <v>378</v>
      </c>
      <c r="B178" s="148">
        <v>16</v>
      </c>
      <c r="C178" s="18" t="s">
        <v>8</v>
      </c>
      <c r="D178" s="150" t="s">
        <v>31</v>
      </c>
      <c r="F178" s="26">
        <v>45863</v>
      </c>
      <c r="G178" s="27" t="s">
        <v>293</v>
      </c>
    </row>
    <row r="179" spans="1:7" ht="15.75" customHeight="1" x14ac:dyDescent="0.25">
      <c r="A179" s="17" t="s">
        <v>371</v>
      </c>
      <c r="B179" s="148">
        <v>82.02</v>
      </c>
      <c r="C179" s="18" t="s">
        <v>8</v>
      </c>
      <c r="D179" s="150" t="s">
        <v>14</v>
      </c>
      <c r="F179" s="26">
        <v>45863</v>
      </c>
      <c r="G179" s="27" t="s">
        <v>293</v>
      </c>
    </row>
    <row r="180" spans="1:7" ht="15.75" customHeight="1" x14ac:dyDescent="0.25">
      <c r="A180" s="17" t="s">
        <v>593</v>
      </c>
      <c r="B180" s="148">
        <v>60.09</v>
      </c>
      <c r="C180" s="18" t="s">
        <v>8</v>
      </c>
      <c r="D180" s="150" t="s">
        <v>16</v>
      </c>
      <c r="F180" s="26">
        <v>45863</v>
      </c>
      <c r="G180" s="27" t="s">
        <v>293</v>
      </c>
    </row>
    <row r="181" spans="1:7" ht="15.75" customHeight="1" x14ac:dyDescent="0.25">
      <c r="A181" s="17" t="s">
        <v>661</v>
      </c>
      <c r="B181" s="148">
        <v>48.82</v>
      </c>
      <c r="C181" s="18" t="s">
        <v>8</v>
      </c>
      <c r="D181" s="150" t="s">
        <v>11</v>
      </c>
      <c r="F181" s="26">
        <v>45863</v>
      </c>
      <c r="G181" s="27" t="s">
        <v>293</v>
      </c>
    </row>
    <row r="182" spans="1:7" ht="15.75" customHeight="1" x14ac:dyDescent="0.25">
      <c r="A182" s="17" t="s">
        <v>662</v>
      </c>
      <c r="B182" s="148">
        <v>61.43</v>
      </c>
      <c r="C182" s="18" t="s">
        <v>8</v>
      </c>
      <c r="D182" s="150" t="s">
        <v>70</v>
      </c>
      <c r="F182" s="26">
        <v>45864</v>
      </c>
      <c r="G182" s="27" t="s">
        <v>386</v>
      </c>
    </row>
    <row r="183" spans="1:7" ht="15.75" customHeight="1" x14ac:dyDescent="0.25">
      <c r="A183" s="17" t="s">
        <v>654</v>
      </c>
      <c r="B183" s="148">
        <v>52.050000000000004</v>
      </c>
      <c r="C183" s="18" t="s">
        <v>8</v>
      </c>
      <c r="D183" s="150" t="s">
        <v>70</v>
      </c>
      <c r="F183" s="26">
        <v>45864</v>
      </c>
      <c r="G183" s="27" t="s">
        <v>386</v>
      </c>
    </row>
    <row r="184" spans="1:7" ht="15.75" customHeight="1" x14ac:dyDescent="0.25">
      <c r="A184" s="17" t="s">
        <v>655</v>
      </c>
      <c r="B184" s="148">
        <v>37.200000000000003</v>
      </c>
      <c r="C184" s="18" t="s">
        <v>8</v>
      </c>
      <c r="D184" s="150" t="s">
        <v>36</v>
      </c>
      <c r="F184" s="26">
        <v>45864</v>
      </c>
      <c r="G184" s="27" t="s">
        <v>293</v>
      </c>
    </row>
    <row r="185" spans="1:7" ht="15.75" customHeight="1" x14ac:dyDescent="0.25">
      <c r="A185" s="17" t="s">
        <v>656</v>
      </c>
      <c r="B185" s="148">
        <v>157.25</v>
      </c>
      <c r="C185" s="18" t="s">
        <v>8</v>
      </c>
      <c r="D185" s="150" t="s">
        <v>70</v>
      </c>
      <c r="F185" s="26">
        <v>45864</v>
      </c>
      <c r="G185" s="27" t="s">
        <v>419</v>
      </c>
    </row>
    <row r="186" spans="1:7" ht="15.75" customHeight="1" x14ac:dyDescent="0.25">
      <c r="A186" s="17" t="s">
        <v>593</v>
      </c>
      <c r="B186" s="148">
        <v>349.29</v>
      </c>
      <c r="C186" s="18" t="s">
        <v>8</v>
      </c>
      <c r="D186" s="150" t="s">
        <v>16</v>
      </c>
      <c r="F186" s="26">
        <v>45864</v>
      </c>
      <c r="G186" s="27" t="s">
        <v>293</v>
      </c>
    </row>
    <row r="187" spans="1:7" ht="15.75" customHeight="1" x14ac:dyDescent="0.25">
      <c r="A187" s="17" t="s">
        <v>371</v>
      </c>
      <c r="B187" s="148">
        <v>15.58</v>
      </c>
      <c r="C187" s="18" t="s">
        <v>8</v>
      </c>
      <c r="D187" s="150" t="s">
        <v>14</v>
      </c>
      <c r="F187" s="26">
        <v>45864</v>
      </c>
      <c r="G187" s="27" t="s">
        <v>293</v>
      </c>
    </row>
    <row r="188" spans="1:7" ht="15.75" customHeight="1" x14ac:dyDescent="0.25">
      <c r="A188" s="17" t="s">
        <v>281</v>
      </c>
      <c r="B188" s="148">
        <v>102.81</v>
      </c>
      <c r="C188" s="18" t="s">
        <v>8</v>
      </c>
      <c r="D188" s="150" t="s">
        <v>36</v>
      </c>
      <c r="F188" s="26">
        <v>45864</v>
      </c>
      <c r="G188" s="27" t="s">
        <v>293</v>
      </c>
    </row>
    <row r="189" spans="1:7" ht="15.75" customHeight="1" x14ac:dyDescent="0.25">
      <c r="A189" s="17" t="s">
        <v>657</v>
      </c>
      <c r="B189" s="148">
        <v>162.37</v>
      </c>
      <c r="C189" s="18" t="s">
        <v>8</v>
      </c>
      <c r="D189" s="150" t="s">
        <v>70</v>
      </c>
      <c r="F189" s="26">
        <v>45865</v>
      </c>
      <c r="G189" s="27" t="s">
        <v>293</v>
      </c>
    </row>
    <row r="190" spans="1:7" ht="15.75" customHeight="1" x14ac:dyDescent="0.25">
      <c r="A190" s="17" t="s">
        <v>43</v>
      </c>
      <c r="B190" s="148">
        <v>161.91</v>
      </c>
      <c r="C190" s="18" t="s">
        <v>8</v>
      </c>
      <c r="D190" s="150" t="s">
        <v>31</v>
      </c>
      <c r="F190" s="26">
        <v>45865</v>
      </c>
      <c r="G190" s="27" t="s">
        <v>293</v>
      </c>
    </row>
    <row r="191" spans="1:7" ht="15.75" customHeight="1" x14ac:dyDescent="0.25">
      <c r="A191" s="17" t="s">
        <v>430</v>
      </c>
      <c r="B191" s="148">
        <v>50</v>
      </c>
      <c r="C191" s="18" t="s">
        <v>8</v>
      </c>
      <c r="D191" s="150" t="s">
        <v>31</v>
      </c>
      <c r="F191" s="26">
        <v>45865</v>
      </c>
      <c r="G191" s="27" t="s">
        <v>293</v>
      </c>
    </row>
    <row r="192" spans="1:7" ht="15.75" customHeight="1" x14ac:dyDescent="0.25">
      <c r="A192" s="17" t="s">
        <v>658</v>
      </c>
      <c r="B192" s="148">
        <v>161.69</v>
      </c>
      <c r="C192" s="18" t="s">
        <v>8</v>
      </c>
      <c r="D192" s="18" t="s">
        <v>517</v>
      </c>
      <c r="F192" s="26">
        <v>45865</v>
      </c>
      <c r="G192" s="27" t="s">
        <v>293</v>
      </c>
    </row>
    <row r="193" spans="1:7" ht="15.75" customHeight="1" x14ac:dyDescent="0.25">
      <c r="A193" s="17" t="s">
        <v>658</v>
      </c>
      <c r="B193" s="148">
        <v>31.94</v>
      </c>
      <c r="C193" s="18" t="s">
        <v>8</v>
      </c>
      <c r="D193" s="18" t="s">
        <v>517</v>
      </c>
      <c r="F193" s="26">
        <v>45865</v>
      </c>
      <c r="G193" s="27" t="s">
        <v>293</v>
      </c>
    </row>
    <row r="194" spans="1:7" ht="15.75" customHeight="1" x14ac:dyDescent="0.25">
      <c r="A194" s="17" t="s">
        <v>659</v>
      </c>
      <c r="B194" s="148">
        <v>39.99</v>
      </c>
      <c r="C194" s="18" t="s">
        <v>8</v>
      </c>
      <c r="D194" s="150" t="s">
        <v>11</v>
      </c>
      <c r="F194" s="26">
        <v>45865</v>
      </c>
      <c r="G194" s="27" t="s">
        <v>293</v>
      </c>
    </row>
    <row r="195" spans="1:7" ht="15.75" customHeight="1" x14ac:dyDescent="0.25">
      <c r="A195" s="17" t="s">
        <v>650</v>
      </c>
      <c r="B195" s="148">
        <v>7.9</v>
      </c>
      <c r="C195" s="18" t="s">
        <v>8</v>
      </c>
      <c r="D195" s="150" t="s">
        <v>31</v>
      </c>
      <c r="F195" s="26">
        <v>45866</v>
      </c>
      <c r="G195" s="27" t="s">
        <v>293</v>
      </c>
    </row>
    <row r="196" spans="1:7" ht="15.75" customHeight="1" x14ac:dyDescent="0.25">
      <c r="A196" s="17" t="s">
        <v>740</v>
      </c>
      <c r="B196" s="151">
        <v>53.75</v>
      </c>
      <c r="C196" s="18" t="s">
        <v>8</v>
      </c>
      <c r="D196" s="18" t="s">
        <v>36</v>
      </c>
      <c r="E196" s="17" t="s">
        <v>17</v>
      </c>
      <c r="F196" s="26">
        <v>45866</v>
      </c>
      <c r="G196" s="27" t="s">
        <v>293</v>
      </c>
    </row>
    <row r="197" spans="1:7" ht="15.75" customHeight="1" x14ac:dyDescent="0.25">
      <c r="A197" s="17" t="s">
        <v>741</v>
      </c>
      <c r="B197" s="151">
        <v>23</v>
      </c>
      <c r="C197" s="18" t="s">
        <v>8</v>
      </c>
      <c r="D197" s="18" t="s">
        <v>36</v>
      </c>
      <c r="E197" s="17" t="s">
        <v>17</v>
      </c>
      <c r="F197" s="26">
        <v>45866</v>
      </c>
      <c r="G197" s="27" t="s">
        <v>293</v>
      </c>
    </row>
    <row r="198" spans="1:7" ht="15.75" customHeight="1" x14ac:dyDescent="0.25">
      <c r="A198" s="17" t="s">
        <v>742</v>
      </c>
      <c r="B198" s="151">
        <v>99.399999999999991</v>
      </c>
      <c r="C198" s="18" t="s">
        <v>8</v>
      </c>
      <c r="D198" s="18" t="s">
        <v>14</v>
      </c>
      <c r="E198" s="17" t="s">
        <v>12</v>
      </c>
      <c r="F198" s="26">
        <v>45866</v>
      </c>
      <c r="G198" s="27" t="s">
        <v>303</v>
      </c>
    </row>
    <row r="199" spans="1:7" ht="15.75" customHeight="1" x14ac:dyDescent="0.25">
      <c r="A199" s="17" t="s">
        <v>120</v>
      </c>
      <c r="B199" s="151">
        <v>11.9</v>
      </c>
      <c r="C199" s="18" t="s">
        <v>8</v>
      </c>
      <c r="D199" s="18" t="s">
        <v>31</v>
      </c>
      <c r="E199" s="17" t="s">
        <v>12</v>
      </c>
      <c r="F199" s="26">
        <v>45865</v>
      </c>
      <c r="G199" s="27" t="s">
        <v>293</v>
      </c>
    </row>
    <row r="200" spans="1:7" ht="15.75" customHeight="1" x14ac:dyDescent="0.25">
      <c r="A200" s="17" t="s">
        <v>120</v>
      </c>
      <c r="B200" s="151">
        <v>3</v>
      </c>
      <c r="C200" s="18" t="s">
        <v>8</v>
      </c>
      <c r="D200" s="18" t="s">
        <v>31</v>
      </c>
      <c r="E200" s="17" t="s">
        <v>12</v>
      </c>
      <c r="F200" s="26">
        <v>45866</v>
      </c>
      <c r="G200" s="27" t="s">
        <v>293</v>
      </c>
    </row>
    <row r="201" spans="1:7" ht="15.75" customHeight="1" x14ac:dyDescent="0.25">
      <c r="C201" s="18"/>
      <c r="D201" s="18"/>
    </row>
    <row r="202" spans="1:7" ht="15.75" customHeight="1" x14ac:dyDescent="0.25">
      <c r="C202" s="18"/>
      <c r="D202" s="18"/>
    </row>
    <row r="203" spans="1:7" ht="15.75" customHeight="1" x14ac:dyDescent="0.25">
      <c r="C203" s="18"/>
      <c r="D203" s="18"/>
    </row>
    <row r="204" spans="1:7" ht="15.75" customHeight="1" x14ac:dyDescent="0.25">
      <c r="C204" s="18"/>
      <c r="D204" s="18"/>
    </row>
    <row r="205" spans="1:7" ht="15.75" customHeight="1" x14ac:dyDescent="0.25">
      <c r="C205" s="18"/>
      <c r="D205" s="18"/>
    </row>
    <row r="206" spans="1:7" ht="15.75" customHeight="1" x14ac:dyDescent="0.25">
      <c r="C206" s="18"/>
      <c r="D206" s="18"/>
    </row>
    <row r="207" spans="1:7" ht="15.75" customHeight="1" x14ac:dyDescent="0.25">
      <c r="C207" s="18"/>
      <c r="D207" s="18"/>
    </row>
    <row r="208" spans="1:7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>
      <c r="C973" s="18"/>
      <c r="D973" s="18"/>
    </row>
    <row r="974" spans="3:4" ht="15.75" customHeight="1" x14ac:dyDescent="0.25">
      <c r="C974" s="18"/>
      <c r="D974" s="18"/>
    </row>
    <row r="975" spans="3:4" ht="15.75" customHeight="1" x14ac:dyDescent="0.25">
      <c r="C975" s="18"/>
      <c r="D975" s="18"/>
    </row>
    <row r="976" spans="3:4" ht="15.75" customHeight="1" x14ac:dyDescent="0.25">
      <c r="C976" s="18"/>
      <c r="D976" s="18"/>
    </row>
    <row r="977" spans="3:4" ht="15.75" customHeight="1" x14ac:dyDescent="0.25">
      <c r="C977" s="18"/>
      <c r="D977" s="18"/>
    </row>
    <row r="978" spans="3:4" ht="15.75" customHeight="1" x14ac:dyDescent="0.25">
      <c r="C978" s="18"/>
      <c r="D978" s="18"/>
    </row>
    <row r="979" spans="3:4" ht="15.75" customHeight="1" x14ac:dyDescent="0.25">
      <c r="C979" s="18"/>
      <c r="D979" s="18"/>
    </row>
    <row r="980" spans="3:4" ht="15.75" customHeight="1" x14ac:dyDescent="0.25">
      <c r="C980" s="18"/>
      <c r="D980" s="18"/>
    </row>
    <row r="981" spans="3:4" ht="15.75" customHeight="1" x14ac:dyDescent="0.25"/>
    <row r="982" spans="3:4" ht="15.75" customHeight="1" x14ac:dyDescent="0.25"/>
    <row r="983" spans="3:4" ht="15.75" customHeight="1" x14ac:dyDescent="0.25"/>
    <row r="984" spans="3:4" ht="15.75" customHeight="1" x14ac:dyDescent="0.25"/>
    <row r="985" spans="3:4" ht="15.75" customHeight="1" x14ac:dyDescent="0.25"/>
    <row r="986" spans="3:4" ht="15.75" customHeight="1" x14ac:dyDescent="0.25"/>
    <row r="987" spans="3:4" ht="15.75" customHeight="1" x14ac:dyDescent="0.25"/>
    <row r="988" spans="3:4" ht="15.75" customHeight="1" x14ac:dyDescent="0.25"/>
    <row r="989" spans="3:4" ht="15.75" customHeight="1" x14ac:dyDescent="0.25"/>
    <row r="990" spans="3:4" ht="15.75" customHeight="1" x14ac:dyDescent="0.25"/>
    <row r="991" spans="3:4" ht="15.75" customHeight="1" x14ac:dyDescent="0.25"/>
    <row r="992" spans="3:4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71699-B7FC-4DE8-90E4-6813A0133B27}">
  <sheetPr codeName="Sheet11"/>
  <dimension ref="A1:K996"/>
  <sheetViews>
    <sheetView workbookViewId="0">
      <selection activeCell="L30" sqref="L30"/>
    </sheetView>
  </sheetViews>
  <sheetFormatPr defaultColWidth="14.42578125" defaultRowHeight="15" customHeight="1" x14ac:dyDescent="0.25"/>
  <cols>
    <col min="1" max="1" width="28.85546875" style="25" bestFit="1" customWidth="1"/>
    <col min="2" max="2" width="9.7109375" style="25" customWidth="1"/>
    <col min="3" max="3" width="12.7109375" style="25" customWidth="1"/>
    <col min="4" max="4" width="16.5703125" style="25" customWidth="1"/>
    <col min="5" max="5" width="9.5703125" style="25" customWidth="1"/>
    <col min="6" max="6" width="14.28515625" style="25" customWidth="1"/>
    <col min="7" max="7" width="10.5703125" style="25" customWidth="1"/>
    <col min="8" max="8" width="8.7109375" style="25" customWidth="1"/>
    <col min="9" max="9" width="16.42578125" style="25" bestFit="1" customWidth="1"/>
    <col min="10" max="10" width="14.85546875" style="25" bestFit="1" customWidth="1"/>
    <col min="11" max="26" width="8.7109375" style="25" customWidth="1"/>
    <col min="27" max="16384" width="14.42578125" style="25"/>
  </cols>
  <sheetData>
    <row r="1" spans="1:11" x14ac:dyDescent="0.25">
      <c r="A1" s="184" t="s">
        <v>0</v>
      </c>
      <c r="B1" s="190">
        <f>SUMIF('08_2025'!$C$5:$C$91,"Expense",'08_2025'!$B$5:$B$91)-SUMIF('08_2025'!$C$5:$C$91,"Income",'08_2025'!$B$5:$B$91)</f>
        <v>-10042.260523809524</v>
      </c>
    </row>
    <row r="2" spans="1:11" ht="15" customHeight="1" x14ac:dyDescent="0.25">
      <c r="A2" s="186"/>
      <c r="B2" s="186"/>
    </row>
    <row r="3" spans="1:11" x14ac:dyDescent="0.25">
      <c r="F3" s="18">
        <v>12</v>
      </c>
    </row>
    <row r="4" spans="1:11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  <c r="I4" s="11" t="s">
        <v>129</v>
      </c>
      <c r="J4" s="12" t="s">
        <v>131</v>
      </c>
      <c r="K4"/>
    </row>
    <row r="5" spans="1:11" x14ac:dyDescent="0.25">
      <c r="A5" s="18" t="s">
        <v>60</v>
      </c>
      <c r="B5" s="3">
        <v>119</v>
      </c>
      <c r="C5" s="18" t="s">
        <v>8</v>
      </c>
      <c r="D5" s="18" t="s">
        <v>61</v>
      </c>
      <c r="E5" s="8" t="s">
        <v>12</v>
      </c>
      <c r="F5" s="5">
        <v>45872</v>
      </c>
      <c r="G5" s="27"/>
      <c r="I5" s="13" t="s">
        <v>70</v>
      </c>
      <c r="J5" s="76">
        <v>5000</v>
      </c>
      <c r="K5"/>
    </row>
    <row r="6" spans="1:11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>
        <v>45872</v>
      </c>
      <c r="G6" s="27"/>
      <c r="I6" s="13" t="s">
        <v>20</v>
      </c>
      <c r="J6" s="76">
        <v>205.7</v>
      </c>
      <c r="K6"/>
    </row>
    <row r="7" spans="1:11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>
        <v>45874</v>
      </c>
      <c r="G7" s="27"/>
      <c r="I7" s="13" t="s">
        <v>22</v>
      </c>
      <c r="J7" s="76">
        <v>3050.8568333333337</v>
      </c>
      <c r="K7"/>
    </row>
    <row r="8" spans="1:11" x14ac:dyDescent="0.25">
      <c r="A8" s="18" t="s">
        <v>67</v>
      </c>
      <c r="B8" s="3">
        <v>106.9</v>
      </c>
      <c r="C8" s="18" t="s">
        <v>8</v>
      </c>
      <c r="D8" s="18" t="s">
        <v>68</v>
      </c>
      <c r="E8" s="8" t="s">
        <v>12</v>
      </c>
      <c r="F8" s="5">
        <v>45873</v>
      </c>
      <c r="G8" s="27"/>
      <c r="I8" s="13" t="s">
        <v>108</v>
      </c>
      <c r="J8" s="76">
        <v>346.14</v>
      </c>
      <c r="K8"/>
    </row>
    <row r="9" spans="1:11" x14ac:dyDescent="0.25">
      <c r="A9" s="18" t="s">
        <v>69</v>
      </c>
      <c r="B9" s="3">
        <v>5000</v>
      </c>
      <c r="C9" s="18" t="s">
        <v>8</v>
      </c>
      <c r="D9" s="18" t="s">
        <v>70</v>
      </c>
      <c r="E9" s="8" t="s">
        <v>12</v>
      </c>
      <c r="F9" s="5">
        <v>45884</v>
      </c>
      <c r="G9" s="27"/>
      <c r="I9" s="13" t="s">
        <v>114</v>
      </c>
      <c r="J9" s="76">
        <v>997.48</v>
      </c>
      <c r="K9"/>
    </row>
    <row r="10" spans="1:11" x14ac:dyDescent="0.25">
      <c r="A10" s="18" t="s">
        <v>74</v>
      </c>
      <c r="B10" s="3">
        <v>5710.37</v>
      </c>
      <c r="C10" s="18" t="s">
        <v>72</v>
      </c>
      <c r="D10" s="18" t="s">
        <v>73</v>
      </c>
      <c r="E10" s="8" t="s">
        <v>12</v>
      </c>
      <c r="F10" s="5">
        <v>45884</v>
      </c>
      <c r="G10" s="27"/>
      <c r="I10" s="13" t="s">
        <v>63</v>
      </c>
      <c r="J10" s="76">
        <v>560</v>
      </c>
      <c r="K10"/>
    </row>
    <row r="11" spans="1:11" x14ac:dyDescent="0.25">
      <c r="A11" s="18" t="s">
        <v>75</v>
      </c>
      <c r="B11" s="3">
        <v>60</v>
      </c>
      <c r="C11" s="18" t="s">
        <v>8</v>
      </c>
      <c r="D11" s="18" t="s">
        <v>63</v>
      </c>
      <c r="E11" s="8" t="s">
        <v>12</v>
      </c>
      <c r="F11" s="5">
        <v>45887</v>
      </c>
      <c r="G11" s="27"/>
      <c r="I11" s="13" t="s">
        <v>61</v>
      </c>
      <c r="J11" s="76">
        <v>483.53874999999999</v>
      </c>
      <c r="K11"/>
    </row>
    <row r="12" spans="1:11" x14ac:dyDescent="0.25">
      <c r="A12" s="18" t="s">
        <v>76</v>
      </c>
      <c r="B12" s="3">
        <v>100</v>
      </c>
      <c r="C12" s="18" t="s">
        <v>8</v>
      </c>
      <c r="D12" s="18" t="s">
        <v>63</v>
      </c>
      <c r="E12" s="8" t="s">
        <v>12</v>
      </c>
      <c r="F12" s="5">
        <v>45894</v>
      </c>
      <c r="G12" s="27"/>
      <c r="I12" s="13" t="s">
        <v>16</v>
      </c>
      <c r="J12" s="76">
        <v>258.35166666666669</v>
      </c>
      <c r="K12"/>
    </row>
    <row r="13" spans="1:11" x14ac:dyDescent="0.25">
      <c r="A13" s="18" t="s">
        <v>77</v>
      </c>
      <c r="B13" s="3">
        <v>49.9</v>
      </c>
      <c r="C13" s="18" t="s">
        <v>8</v>
      </c>
      <c r="D13" s="18" t="s">
        <v>20</v>
      </c>
      <c r="E13" s="8" t="s">
        <v>12</v>
      </c>
      <c r="F13" s="5">
        <v>45894</v>
      </c>
      <c r="G13" s="27"/>
      <c r="I13" s="13" t="s">
        <v>14</v>
      </c>
      <c r="J13" s="76">
        <v>214.18899999999999</v>
      </c>
      <c r="K13"/>
    </row>
    <row r="14" spans="1:11" x14ac:dyDescent="0.25">
      <c r="A14" s="18" t="s">
        <v>78</v>
      </c>
      <c r="B14" s="3">
        <v>16.899999999999999</v>
      </c>
      <c r="C14" s="18" t="s">
        <v>8</v>
      </c>
      <c r="D14" s="18" t="s">
        <v>20</v>
      </c>
      <c r="E14" s="8" t="s">
        <v>12</v>
      </c>
      <c r="F14" s="5">
        <v>45897</v>
      </c>
      <c r="G14" s="27"/>
      <c r="I14" s="13" t="s">
        <v>73</v>
      </c>
      <c r="J14" s="76">
        <v>26110.37</v>
      </c>
      <c r="K14"/>
    </row>
    <row r="15" spans="1:11" x14ac:dyDescent="0.25">
      <c r="A15" s="18" t="s">
        <v>80</v>
      </c>
      <c r="B15" s="3">
        <v>857</v>
      </c>
      <c r="C15" s="18" t="s">
        <v>8</v>
      </c>
      <c r="D15" s="18" t="s">
        <v>68</v>
      </c>
      <c r="E15" s="8" t="s">
        <v>12</v>
      </c>
      <c r="F15" s="5">
        <v>45899</v>
      </c>
      <c r="G15" s="27"/>
      <c r="I15" s="13" t="s">
        <v>68</v>
      </c>
      <c r="J15" s="76">
        <v>1636.05</v>
      </c>
      <c r="K15"/>
    </row>
    <row r="16" spans="1:11" x14ac:dyDescent="0.25">
      <c r="A16" s="18" t="s">
        <v>81</v>
      </c>
      <c r="B16" s="3">
        <v>113.7</v>
      </c>
      <c r="C16" s="18" t="s">
        <v>8</v>
      </c>
      <c r="D16" s="18" t="s">
        <v>68</v>
      </c>
      <c r="E16" s="8" t="s">
        <v>12</v>
      </c>
      <c r="F16" s="5">
        <v>45899</v>
      </c>
      <c r="G16" s="27"/>
      <c r="I16" s="13" t="s">
        <v>11</v>
      </c>
      <c r="J16" s="76">
        <v>877.7240595238095</v>
      </c>
      <c r="K16"/>
    </row>
    <row r="17" spans="1:11" x14ac:dyDescent="0.25">
      <c r="A17" s="126" t="s">
        <v>411</v>
      </c>
      <c r="B17" s="3">
        <v>113.75</v>
      </c>
      <c r="C17" s="126" t="s">
        <v>8</v>
      </c>
      <c r="D17" s="18" t="s">
        <v>68</v>
      </c>
      <c r="E17" s="8" t="s">
        <v>12</v>
      </c>
      <c r="F17" s="5">
        <v>45899</v>
      </c>
      <c r="G17" s="27"/>
      <c r="I17" s="13" t="s">
        <v>517</v>
      </c>
      <c r="J17" s="76">
        <v>1463.8425</v>
      </c>
      <c r="K17"/>
    </row>
    <row r="18" spans="1:11" x14ac:dyDescent="0.25">
      <c r="A18" s="18" t="s">
        <v>82</v>
      </c>
      <c r="B18" s="3">
        <v>50</v>
      </c>
      <c r="C18" s="18" t="s">
        <v>8</v>
      </c>
      <c r="D18" s="18" t="s">
        <v>68</v>
      </c>
      <c r="E18" s="8" t="s">
        <v>12</v>
      </c>
      <c r="F18" s="5">
        <v>45899</v>
      </c>
      <c r="G18" s="27"/>
      <c r="I18" s="13" t="s">
        <v>118</v>
      </c>
      <c r="J18" s="76">
        <v>411.48</v>
      </c>
      <c r="K18"/>
    </row>
    <row r="19" spans="1:11" x14ac:dyDescent="0.25">
      <c r="A19" s="137" t="s">
        <v>625</v>
      </c>
      <c r="B19" s="3">
        <v>394.7</v>
      </c>
      <c r="C19" s="18" t="s">
        <v>8</v>
      </c>
      <c r="D19" s="18" t="s">
        <v>68</v>
      </c>
      <c r="E19" s="8" t="s">
        <v>12</v>
      </c>
      <c r="F19" s="5">
        <v>45868</v>
      </c>
      <c r="G19" s="27"/>
      <c r="I19" s="15" t="s">
        <v>130</v>
      </c>
      <c r="J19" s="77">
        <v>41615.722809523817</v>
      </c>
      <c r="K19"/>
    </row>
    <row r="20" spans="1:11" ht="15.75" customHeight="1" x14ac:dyDescent="0.25">
      <c r="A20" s="18" t="s">
        <v>83</v>
      </c>
      <c r="B20" s="3">
        <v>4400</v>
      </c>
      <c r="C20" s="18" t="s">
        <v>72</v>
      </c>
      <c r="D20" s="18" t="s">
        <v>73</v>
      </c>
      <c r="E20" s="8" t="s">
        <v>12</v>
      </c>
      <c r="F20" s="5">
        <v>45899</v>
      </c>
      <c r="G20" s="27"/>
      <c r="I20"/>
      <c r="J20"/>
      <c r="K20"/>
    </row>
    <row r="21" spans="1:11" ht="15.75" customHeight="1" x14ac:dyDescent="0.25">
      <c r="A21" s="126" t="s">
        <v>601</v>
      </c>
      <c r="B21" s="3">
        <v>16000</v>
      </c>
      <c r="C21" s="18" t="s">
        <v>72</v>
      </c>
      <c r="D21" s="18" t="s">
        <v>73</v>
      </c>
      <c r="E21" s="8" t="s">
        <v>17</v>
      </c>
      <c r="F21" s="5">
        <v>45899</v>
      </c>
      <c r="G21" s="27"/>
      <c r="I21"/>
      <c r="J21"/>
      <c r="K21"/>
    </row>
    <row r="22" spans="1:11" ht="15.75" customHeight="1" x14ac:dyDescent="0.25">
      <c r="A22" s="144" t="s">
        <v>636</v>
      </c>
      <c r="B22" s="3">
        <v>800</v>
      </c>
      <c r="C22" s="18" t="s">
        <v>8</v>
      </c>
      <c r="D22" s="144" t="s">
        <v>114</v>
      </c>
      <c r="E22" s="8" t="s">
        <v>12</v>
      </c>
      <c r="F22" s="5">
        <v>45868</v>
      </c>
      <c r="G22" s="27"/>
      <c r="I22"/>
      <c r="J22"/>
    </row>
    <row r="23" spans="1:11" ht="15.75" customHeight="1" x14ac:dyDescent="0.25">
      <c r="A23" s="126" t="s">
        <v>533</v>
      </c>
      <c r="B23" s="3">
        <v>2000</v>
      </c>
      <c r="C23" s="18" t="s">
        <v>8</v>
      </c>
      <c r="D23" s="126" t="s">
        <v>22</v>
      </c>
      <c r="E23" s="8" t="s">
        <v>17</v>
      </c>
      <c r="F23" s="5">
        <v>45899</v>
      </c>
      <c r="G23" s="27"/>
      <c r="I23"/>
      <c r="J23"/>
    </row>
    <row r="24" spans="1:11" ht="15.75" customHeight="1" x14ac:dyDescent="0.25">
      <c r="A24" s="29" t="s">
        <v>315</v>
      </c>
      <c r="B24" s="3">
        <f>877.5/12</f>
        <v>73.125</v>
      </c>
      <c r="C24" s="2" t="s">
        <v>8</v>
      </c>
      <c r="D24" s="2" t="s">
        <v>16</v>
      </c>
      <c r="E24" s="8" t="s">
        <v>12</v>
      </c>
      <c r="F24" s="5">
        <v>45629</v>
      </c>
      <c r="G24" s="31" t="s">
        <v>314</v>
      </c>
      <c r="I24"/>
      <c r="J24"/>
    </row>
    <row r="25" spans="1:11" ht="15.75" customHeight="1" x14ac:dyDescent="0.25">
      <c r="A25" s="30" t="s">
        <v>316</v>
      </c>
      <c r="B25" s="28">
        <v>346.14</v>
      </c>
      <c r="C25" s="2" t="s">
        <v>8</v>
      </c>
      <c r="D25" s="18" t="s">
        <v>108</v>
      </c>
      <c r="E25" s="18" t="s">
        <v>12</v>
      </c>
      <c r="F25" s="5">
        <v>45657</v>
      </c>
      <c r="G25" s="31" t="s">
        <v>313</v>
      </c>
      <c r="I25"/>
      <c r="J25"/>
    </row>
    <row r="26" spans="1:11" ht="15.75" customHeight="1" x14ac:dyDescent="0.25">
      <c r="A26" s="29" t="s">
        <v>317</v>
      </c>
      <c r="B26" s="3">
        <v>33.36</v>
      </c>
      <c r="C26" s="2" t="s">
        <v>8</v>
      </c>
      <c r="D26" s="2" t="s">
        <v>11</v>
      </c>
      <c r="E26" s="18" t="s">
        <v>12</v>
      </c>
      <c r="F26" s="5">
        <v>45639</v>
      </c>
      <c r="G26" s="31" t="s">
        <v>312</v>
      </c>
      <c r="I26"/>
      <c r="J26"/>
    </row>
    <row r="27" spans="1:11" ht="15.75" customHeight="1" x14ac:dyDescent="0.25">
      <c r="A27" s="30" t="s">
        <v>318</v>
      </c>
      <c r="B27" s="3">
        <v>68.8</v>
      </c>
      <c r="C27" s="18" t="s">
        <v>8</v>
      </c>
      <c r="D27" s="18" t="s">
        <v>22</v>
      </c>
      <c r="E27" s="8" t="s">
        <v>12</v>
      </c>
      <c r="F27" s="5">
        <v>45668</v>
      </c>
      <c r="G27" s="31" t="s">
        <v>311</v>
      </c>
      <c r="I27"/>
      <c r="J27"/>
    </row>
    <row r="28" spans="1:11" ht="15.75" customHeight="1" x14ac:dyDescent="0.25">
      <c r="A28" s="29" t="s">
        <v>319</v>
      </c>
      <c r="B28" s="3">
        <f>598.8/12</f>
        <v>49.9</v>
      </c>
      <c r="C28" s="2" t="s">
        <v>8</v>
      </c>
      <c r="D28" s="2" t="s">
        <v>20</v>
      </c>
      <c r="E28" s="2" t="s">
        <v>12</v>
      </c>
      <c r="F28" s="5">
        <v>45681</v>
      </c>
      <c r="G28" s="31" t="s">
        <v>311</v>
      </c>
      <c r="I28"/>
      <c r="J28"/>
    </row>
    <row r="29" spans="1:11" ht="15.75" customHeight="1" x14ac:dyDescent="0.25">
      <c r="A29" s="25" t="s">
        <v>282</v>
      </c>
      <c r="B29" s="122">
        <v>39.134999999999998</v>
      </c>
      <c r="C29" s="18" t="s">
        <v>8</v>
      </c>
      <c r="D29" s="18" t="s">
        <v>22</v>
      </c>
      <c r="E29" s="25" t="s">
        <v>12</v>
      </c>
      <c r="F29" s="26">
        <v>45718</v>
      </c>
      <c r="G29" s="27" t="s">
        <v>298</v>
      </c>
      <c r="I29"/>
      <c r="J29"/>
    </row>
    <row r="30" spans="1:11" ht="15.75" customHeight="1" x14ac:dyDescent="0.25">
      <c r="A30" s="25" t="s">
        <v>384</v>
      </c>
      <c r="B30" s="122">
        <v>27.408333333333331</v>
      </c>
      <c r="C30" s="18" t="s">
        <v>8</v>
      </c>
      <c r="D30" s="18" t="s">
        <v>11</v>
      </c>
      <c r="E30" s="25" t="s">
        <v>12</v>
      </c>
      <c r="F30" s="26">
        <v>45731</v>
      </c>
      <c r="G30" s="27" t="s">
        <v>353</v>
      </c>
      <c r="I30"/>
      <c r="J30"/>
    </row>
    <row r="31" spans="1:11" ht="15.75" customHeight="1" x14ac:dyDescent="0.25">
      <c r="A31" s="25" t="s">
        <v>385</v>
      </c>
      <c r="B31" s="122">
        <v>27.406666666666666</v>
      </c>
      <c r="C31" s="18" t="s">
        <v>8</v>
      </c>
      <c r="D31" s="18" t="s">
        <v>14</v>
      </c>
      <c r="E31" s="25" t="s">
        <v>12</v>
      </c>
      <c r="F31" s="26">
        <v>45731</v>
      </c>
      <c r="G31" s="27" t="s">
        <v>353</v>
      </c>
      <c r="I31"/>
      <c r="J31"/>
    </row>
    <row r="32" spans="1:11" ht="15.75" customHeight="1" x14ac:dyDescent="0.25">
      <c r="A32" s="25" t="s">
        <v>391</v>
      </c>
      <c r="B32" s="122">
        <v>36.907499999999999</v>
      </c>
      <c r="C32" s="18" t="s">
        <v>8</v>
      </c>
      <c r="D32" s="18" t="s">
        <v>22</v>
      </c>
      <c r="E32" s="25" t="s">
        <v>17</v>
      </c>
      <c r="F32" s="26">
        <v>45734</v>
      </c>
      <c r="G32" s="27" t="s">
        <v>322</v>
      </c>
      <c r="I32"/>
      <c r="J32"/>
    </row>
    <row r="33" spans="1:10" ht="15.75" customHeight="1" x14ac:dyDescent="0.25">
      <c r="A33" s="25" t="s">
        <v>392</v>
      </c>
      <c r="B33" s="122">
        <v>133.25</v>
      </c>
      <c r="C33" s="18" t="s">
        <v>8</v>
      </c>
      <c r="D33" s="18" t="s">
        <v>22</v>
      </c>
      <c r="E33" s="25" t="s">
        <v>17</v>
      </c>
      <c r="F33" s="26">
        <v>45734</v>
      </c>
      <c r="G33" s="27" t="s">
        <v>322</v>
      </c>
      <c r="I33"/>
      <c r="J33"/>
    </row>
    <row r="34" spans="1:10" ht="15.75" customHeight="1" x14ac:dyDescent="0.25">
      <c r="A34" s="25" t="s">
        <v>400</v>
      </c>
      <c r="B34" s="122">
        <v>54.991666666666667</v>
      </c>
      <c r="C34" s="18" t="s">
        <v>8</v>
      </c>
      <c r="D34" s="18" t="s">
        <v>11</v>
      </c>
      <c r="E34" s="25" t="s">
        <v>12</v>
      </c>
      <c r="F34" s="26">
        <v>45742</v>
      </c>
      <c r="G34" s="27" t="s">
        <v>353</v>
      </c>
      <c r="I34"/>
      <c r="J34"/>
    </row>
    <row r="35" spans="1:10" ht="15.75" customHeight="1" x14ac:dyDescent="0.25">
      <c r="A35" s="25" t="s">
        <v>418</v>
      </c>
      <c r="B35" s="122">
        <v>52.28875</v>
      </c>
      <c r="C35" s="18" t="s">
        <v>8</v>
      </c>
      <c r="D35" s="18" t="s">
        <v>61</v>
      </c>
      <c r="E35" s="25" t="s">
        <v>12</v>
      </c>
      <c r="F35" s="26">
        <v>45753</v>
      </c>
      <c r="G35" s="27" t="s">
        <v>336</v>
      </c>
      <c r="I35"/>
      <c r="J35"/>
    </row>
    <row r="36" spans="1:10" ht="15.75" customHeight="1" x14ac:dyDescent="0.25">
      <c r="A36" s="25" t="s">
        <v>439</v>
      </c>
      <c r="B36" s="122">
        <v>123.5</v>
      </c>
      <c r="C36" s="18" t="s">
        <v>8</v>
      </c>
      <c r="D36" s="18" t="s">
        <v>11</v>
      </c>
      <c r="E36" s="25" t="s">
        <v>12</v>
      </c>
      <c r="F36" s="26">
        <v>45771</v>
      </c>
      <c r="G36" s="27" t="s">
        <v>334</v>
      </c>
      <c r="I36"/>
      <c r="J36"/>
    </row>
    <row r="37" spans="1:10" ht="15.75" customHeight="1" x14ac:dyDescent="0.25">
      <c r="A37" s="25" t="s">
        <v>447</v>
      </c>
      <c r="B37" s="122">
        <v>50.949999999999996</v>
      </c>
      <c r="C37" s="18" t="s">
        <v>8</v>
      </c>
      <c r="D37" s="18" t="s">
        <v>14</v>
      </c>
      <c r="E37" s="25" t="s">
        <v>12</v>
      </c>
      <c r="F37" s="26">
        <v>45775</v>
      </c>
      <c r="G37" s="27" t="s">
        <v>334</v>
      </c>
      <c r="I37"/>
      <c r="J37"/>
    </row>
    <row r="38" spans="1:10" ht="15.75" customHeight="1" x14ac:dyDescent="0.25">
      <c r="A38" s="25" t="s">
        <v>456</v>
      </c>
      <c r="B38" s="122">
        <v>52.06</v>
      </c>
      <c r="C38" s="18" t="s">
        <v>8</v>
      </c>
      <c r="D38" s="18" t="s">
        <v>22</v>
      </c>
      <c r="E38" s="25" t="s">
        <v>12</v>
      </c>
      <c r="F38" s="26">
        <v>45780</v>
      </c>
      <c r="G38" s="27" t="s">
        <v>330</v>
      </c>
      <c r="I38"/>
      <c r="J38"/>
    </row>
    <row r="39" spans="1:10" ht="15.75" customHeight="1" x14ac:dyDescent="0.25">
      <c r="A39" s="25" t="s">
        <v>457</v>
      </c>
      <c r="B39" s="122">
        <v>39.699999999999996</v>
      </c>
      <c r="C39" s="18" t="s">
        <v>8</v>
      </c>
      <c r="D39" s="18" t="s">
        <v>114</v>
      </c>
      <c r="E39" s="25" t="s">
        <v>12</v>
      </c>
      <c r="F39" s="26">
        <v>45780</v>
      </c>
      <c r="G39" s="27" t="s">
        <v>328</v>
      </c>
      <c r="I39"/>
      <c r="J39"/>
    </row>
    <row r="40" spans="1:10" ht="15.75" customHeight="1" x14ac:dyDescent="0.25">
      <c r="A40" s="25" t="s">
        <v>471</v>
      </c>
      <c r="B40" s="122">
        <v>122.45</v>
      </c>
      <c r="C40" s="18" t="s">
        <v>8</v>
      </c>
      <c r="D40" s="18" t="s">
        <v>11</v>
      </c>
      <c r="E40" s="25" t="s">
        <v>17</v>
      </c>
      <c r="F40" s="26">
        <v>45789</v>
      </c>
      <c r="G40" s="27" t="s">
        <v>302</v>
      </c>
      <c r="I40"/>
      <c r="J40"/>
    </row>
    <row r="41" spans="1:10" ht="15.75" customHeight="1" x14ac:dyDescent="0.25">
      <c r="A41" s="25" t="s">
        <v>518</v>
      </c>
      <c r="B41" s="122">
        <v>133.64000000000001</v>
      </c>
      <c r="C41" s="18" t="s">
        <v>8</v>
      </c>
      <c r="D41" s="18" t="s">
        <v>517</v>
      </c>
      <c r="E41" s="25" t="s">
        <v>17</v>
      </c>
      <c r="F41" s="26">
        <v>45798</v>
      </c>
      <c r="G41" s="27" t="s">
        <v>522</v>
      </c>
      <c r="I41"/>
      <c r="J41"/>
    </row>
    <row r="42" spans="1:10" ht="15.75" customHeight="1" x14ac:dyDescent="0.25">
      <c r="A42" s="25" t="s">
        <v>490</v>
      </c>
      <c r="B42" s="122">
        <v>53.569000000000003</v>
      </c>
      <c r="C42" s="18" t="s">
        <v>8</v>
      </c>
      <c r="D42" s="18" t="s">
        <v>14</v>
      </c>
      <c r="E42" s="25" t="s">
        <v>12</v>
      </c>
      <c r="F42" s="26">
        <v>45799</v>
      </c>
      <c r="G42" s="27" t="s">
        <v>329</v>
      </c>
      <c r="I42"/>
      <c r="J42"/>
    </row>
    <row r="43" spans="1:10" ht="15.75" customHeight="1" x14ac:dyDescent="0.25">
      <c r="A43" s="25" t="s">
        <v>505</v>
      </c>
      <c r="B43" s="122">
        <v>81.599999999999994</v>
      </c>
      <c r="C43" s="18" t="s">
        <v>8</v>
      </c>
      <c r="D43" s="18" t="s">
        <v>11</v>
      </c>
      <c r="E43" s="25" t="s">
        <v>12</v>
      </c>
      <c r="F43" s="26">
        <v>45805</v>
      </c>
      <c r="G43" s="27" t="s">
        <v>309</v>
      </c>
      <c r="I43"/>
      <c r="J43"/>
    </row>
    <row r="44" spans="1:10" ht="15.75" customHeight="1" x14ac:dyDescent="0.25">
      <c r="A44" s="25" t="s">
        <v>506</v>
      </c>
      <c r="B44" s="122">
        <v>39.012500000000003</v>
      </c>
      <c r="C44" s="18" t="s">
        <v>8</v>
      </c>
      <c r="D44" s="18" t="s">
        <v>22</v>
      </c>
      <c r="E44" s="25" t="s">
        <v>12</v>
      </c>
      <c r="F44" s="26">
        <v>45805</v>
      </c>
      <c r="G44" s="27" t="s">
        <v>302</v>
      </c>
      <c r="I44"/>
      <c r="J44"/>
    </row>
    <row r="45" spans="1:10" ht="15.75" customHeight="1" x14ac:dyDescent="0.25">
      <c r="A45" s="25" t="s">
        <v>514</v>
      </c>
      <c r="B45" s="122">
        <v>31.995999999999999</v>
      </c>
      <c r="C45" s="18" t="s">
        <v>8</v>
      </c>
      <c r="D45" s="18" t="s">
        <v>22</v>
      </c>
      <c r="E45" s="25" t="s">
        <v>12</v>
      </c>
      <c r="F45" s="26">
        <v>45811</v>
      </c>
      <c r="G45" s="27" t="s">
        <v>308</v>
      </c>
      <c r="I45"/>
      <c r="J45"/>
    </row>
    <row r="46" spans="1:10" ht="15.75" customHeight="1" x14ac:dyDescent="0.25">
      <c r="A46" s="25" t="s">
        <v>529</v>
      </c>
      <c r="B46" s="122">
        <v>54.46</v>
      </c>
      <c r="C46" s="18" t="s">
        <v>8</v>
      </c>
      <c r="D46" s="18" t="s">
        <v>14</v>
      </c>
      <c r="E46" s="25" t="s">
        <v>17</v>
      </c>
      <c r="F46" s="26">
        <v>45810</v>
      </c>
      <c r="G46" s="27" t="s">
        <v>305</v>
      </c>
      <c r="I46"/>
      <c r="J46"/>
    </row>
    <row r="47" spans="1:10" ht="15.75" customHeight="1" x14ac:dyDescent="0.25">
      <c r="A47" s="25" t="s">
        <v>527</v>
      </c>
      <c r="B47" s="122">
        <v>133.64000000000001</v>
      </c>
      <c r="C47" s="18" t="s">
        <v>8</v>
      </c>
      <c r="D47" s="18" t="s">
        <v>517</v>
      </c>
      <c r="E47" s="25" t="s">
        <v>17</v>
      </c>
      <c r="F47" s="26">
        <v>45810</v>
      </c>
      <c r="G47" s="27" t="s">
        <v>521</v>
      </c>
      <c r="I47"/>
      <c r="J47"/>
    </row>
    <row r="48" spans="1:10" ht="15.75" customHeight="1" x14ac:dyDescent="0.25">
      <c r="A48" s="25" t="s">
        <v>13</v>
      </c>
      <c r="B48" s="122">
        <v>51.963333333333331</v>
      </c>
      <c r="C48" s="18" t="s">
        <v>8</v>
      </c>
      <c r="D48" s="18" t="s">
        <v>11</v>
      </c>
      <c r="E48" s="25" t="s">
        <v>17</v>
      </c>
      <c r="F48" s="26">
        <v>45816</v>
      </c>
      <c r="G48" s="27" t="s">
        <v>305</v>
      </c>
      <c r="I48"/>
      <c r="J48"/>
    </row>
    <row r="49" spans="1:10" ht="15.75" customHeight="1" x14ac:dyDescent="0.25">
      <c r="A49" s="25" t="s">
        <v>539</v>
      </c>
      <c r="B49" s="122">
        <v>26.333333333333332</v>
      </c>
      <c r="C49" s="18" t="s">
        <v>8</v>
      </c>
      <c r="D49" s="18" t="s">
        <v>11</v>
      </c>
      <c r="E49" s="25" t="s">
        <v>12</v>
      </c>
      <c r="F49" s="26">
        <v>45814</v>
      </c>
      <c r="G49" s="27" t="s">
        <v>305</v>
      </c>
      <c r="I49"/>
      <c r="J49"/>
    </row>
    <row r="50" spans="1:10" ht="15.75" customHeight="1" x14ac:dyDescent="0.25">
      <c r="A50" s="25" t="s">
        <v>544</v>
      </c>
      <c r="B50" s="122">
        <v>77.12</v>
      </c>
      <c r="C50" s="18" t="s">
        <v>8</v>
      </c>
      <c r="D50" s="18" t="s">
        <v>114</v>
      </c>
      <c r="E50" s="25" t="s">
        <v>12</v>
      </c>
      <c r="F50" s="26">
        <v>45816</v>
      </c>
      <c r="G50" s="27" t="s">
        <v>493</v>
      </c>
      <c r="I50"/>
      <c r="J50"/>
    </row>
    <row r="51" spans="1:10" ht="15.75" customHeight="1" x14ac:dyDescent="0.25">
      <c r="A51" s="25" t="s">
        <v>540</v>
      </c>
      <c r="B51" s="122">
        <v>110.99666666666667</v>
      </c>
      <c r="C51" s="18" t="s">
        <v>8</v>
      </c>
      <c r="D51" s="18" t="s">
        <v>517</v>
      </c>
      <c r="E51" s="25" t="s">
        <v>12</v>
      </c>
      <c r="F51" s="26">
        <v>45815</v>
      </c>
      <c r="G51" s="27" t="s">
        <v>305</v>
      </c>
      <c r="I51"/>
      <c r="J51"/>
    </row>
    <row r="52" spans="1:10" ht="15.75" customHeight="1" x14ac:dyDescent="0.25">
      <c r="A52" s="25" t="s">
        <v>540</v>
      </c>
      <c r="B52" s="122">
        <v>37.013333333333335</v>
      </c>
      <c r="C52" s="18" t="s">
        <v>8</v>
      </c>
      <c r="D52" s="18" t="s">
        <v>517</v>
      </c>
      <c r="E52" s="25" t="s">
        <v>12</v>
      </c>
      <c r="F52" s="26">
        <v>45815</v>
      </c>
      <c r="G52" s="27" t="s">
        <v>305</v>
      </c>
      <c r="I52"/>
      <c r="J52"/>
    </row>
    <row r="53" spans="1:10" ht="15.75" customHeight="1" x14ac:dyDescent="0.25">
      <c r="A53" s="25" t="s">
        <v>554</v>
      </c>
      <c r="B53" s="122">
        <v>138.91499999999999</v>
      </c>
      <c r="C53" s="18" t="s">
        <v>8</v>
      </c>
      <c r="D53" s="18" t="s">
        <v>517</v>
      </c>
      <c r="E53" s="25" t="s">
        <v>17</v>
      </c>
      <c r="F53" s="26">
        <v>45823</v>
      </c>
      <c r="G53" s="27" t="s">
        <v>331</v>
      </c>
      <c r="I53"/>
      <c r="J53"/>
    </row>
    <row r="54" spans="1:10" ht="15.75" customHeight="1" x14ac:dyDescent="0.25">
      <c r="A54" s="25" t="s">
        <v>555</v>
      </c>
      <c r="B54" s="122">
        <v>151.80333333333334</v>
      </c>
      <c r="C54" s="18" t="s">
        <v>8</v>
      </c>
      <c r="D54" s="18" t="s">
        <v>517</v>
      </c>
      <c r="E54" s="25" t="s">
        <v>17</v>
      </c>
      <c r="F54" s="26">
        <v>45823</v>
      </c>
      <c r="G54" s="27" t="s">
        <v>331</v>
      </c>
      <c r="I54"/>
      <c r="J54"/>
    </row>
    <row r="55" spans="1:10" ht="15.75" customHeight="1" x14ac:dyDescent="0.25">
      <c r="A55" s="25" t="s">
        <v>563</v>
      </c>
      <c r="B55" s="122">
        <v>84.286666666666676</v>
      </c>
      <c r="C55" s="18" t="s">
        <v>8</v>
      </c>
      <c r="D55" s="18" t="s">
        <v>22</v>
      </c>
      <c r="E55" s="25" t="s">
        <v>12</v>
      </c>
      <c r="F55" s="26">
        <v>45823</v>
      </c>
      <c r="G55" s="27" t="s">
        <v>305</v>
      </c>
      <c r="I55"/>
      <c r="J55"/>
    </row>
    <row r="56" spans="1:10" ht="15.75" customHeight="1" x14ac:dyDescent="0.25">
      <c r="A56" s="25" t="s">
        <v>564</v>
      </c>
      <c r="B56" s="122">
        <v>11.417142857142858</v>
      </c>
      <c r="C56" s="18" t="s">
        <v>8</v>
      </c>
      <c r="D56" s="18" t="s">
        <v>11</v>
      </c>
      <c r="E56" s="25" t="s">
        <v>12</v>
      </c>
      <c r="F56" s="26">
        <v>45824</v>
      </c>
      <c r="G56" s="27" t="s">
        <v>521</v>
      </c>
      <c r="I56"/>
      <c r="J56"/>
    </row>
    <row r="57" spans="1:10" ht="15.75" customHeight="1" x14ac:dyDescent="0.25">
      <c r="A57" s="25" t="s">
        <v>566</v>
      </c>
      <c r="B57" s="122">
        <v>68.373333333333335</v>
      </c>
      <c r="C57" s="18" t="s">
        <v>8</v>
      </c>
      <c r="D57" s="18" t="s">
        <v>517</v>
      </c>
      <c r="E57" s="25" t="s">
        <v>12</v>
      </c>
      <c r="F57" s="26">
        <v>45825</v>
      </c>
      <c r="G57" s="27" t="s">
        <v>305</v>
      </c>
      <c r="I57"/>
      <c r="J57"/>
    </row>
    <row r="58" spans="1:10" ht="15.75" customHeight="1" x14ac:dyDescent="0.25">
      <c r="A58" s="25" t="s">
        <v>569</v>
      </c>
      <c r="B58" s="122">
        <v>20.663333333333334</v>
      </c>
      <c r="C58" s="18" t="s">
        <v>8</v>
      </c>
      <c r="D58" s="18" t="s">
        <v>22</v>
      </c>
      <c r="E58" s="25" t="s">
        <v>12</v>
      </c>
      <c r="F58" s="26">
        <v>45827</v>
      </c>
      <c r="G58" s="27" t="s">
        <v>305</v>
      </c>
      <c r="I58"/>
      <c r="J58"/>
    </row>
    <row r="59" spans="1:10" ht="15.75" customHeight="1" x14ac:dyDescent="0.25">
      <c r="A59" s="25" t="s">
        <v>572</v>
      </c>
      <c r="B59" s="122">
        <v>22.349999999999998</v>
      </c>
      <c r="C59" s="18" t="s">
        <v>8</v>
      </c>
      <c r="D59" s="18" t="s">
        <v>61</v>
      </c>
      <c r="E59" s="25" t="s">
        <v>12</v>
      </c>
      <c r="F59" s="26">
        <v>45831</v>
      </c>
      <c r="G59" s="27" t="s">
        <v>296</v>
      </c>
      <c r="I59"/>
      <c r="J59"/>
    </row>
    <row r="60" spans="1:10" ht="15.75" customHeight="1" x14ac:dyDescent="0.25">
      <c r="A60" s="25" t="s">
        <v>573</v>
      </c>
      <c r="B60" s="122">
        <v>54.256250000000001</v>
      </c>
      <c r="C60" s="18" t="s">
        <v>8</v>
      </c>
      <c r="D60" s="18" t="s">
        <v>11</v>
      </c>
      <c r="E60" s="25" t="s">
        <v>12</v>
      </c>
      <c r="F60" s="26">
        <v>45831</v>
      </c>
      <c r="G60" s="27" t="s">
        <v>421</v>
      </c>
      <c r="I60"/>
      <c r="J60"/>
    </row>
    <row r="61" spans="1:10" ht="15.75" customHeight="1" x14ac:dyDescent="0.25">
      <c r="A61" s="25" t="s">
        <v>574</v>
      </c>
      <c r="B61" s="122">
        <v>27.803333333333331</v>
      </c>
      <c r="C61" s="18" t="s">
        <v>8</v>
      </c>
      <c r="D61" s="18" t="s">
        <v>14</v>
      </c>
      <c r="E61" s="25" t="s">
        <v>12</v>
      </c>
      <c r="F61" s="26">
        <v>45831</v>
      </c>
      <c r="G61" s="27" t="s">
        <v>331</v>
      </c>
      <c r="I61"/>
      <c r="J61"/>
    </row>
    <row r="62" spans="1:10" ht="15.75" customHeight="1" x14ac:dyDescent="0.25">
      <c r="A62" s="25" t="s">
        <v>581</v>
      </c>
      <c r="B62" s="122">
        <v>39.123333333333335</v>
      </c>
      <c r="C62" s="18" t="s">
        <v>8</v>
      </c>
      <c r="D62" s="18" t="s">
        <v>517</v>
      </c>
      <c r="E62" s="25" t="s">
        <v>12</v>
      </c>
      <c r="F62" s="26">
        <v>45831</v>
      </c>
      <c r="G62" s="27" t="s">
        <v>305</v>
      </c>
      <c r="I62"/>
      <c r="J62"/>
    </row>
    <row r="63" spans="1:10" ht="15.75" customHeight="1" x14ac:dyDescent="0.25">
      <c r="A63" s="25" t="s">
        <v>584</v>
      </c>
      <c r="B63" s="122">
        <v>222.29999999999998</v>
      </c>
      <c r="C63" s="18" t="s">
        <v>8</v>
      </c>
      <c r="D63" s="18" t="s">
        <v>22</v>
      </c>
      <c r="E63" s="25" t="s">
        <v>12</v>
      </c>
      <c r="F63" s="26">
        <v>45832</v>
      </c>
      <c r="G63" s="27" t="s">
        <v>305</v>
      </c>
      <c r="I63"/>
      <c r="J63"/>
    </row>
    <row r="64" spans="1:10" ht="15.75" customHeight="1" x14ac:dyDescent="0.25">
      <c r="A64" s="25" t="s">
        <v>585</v>
      </c>
      <c r="B64" s="122">
        <v>55.875</v>
      </c>
      <c r="C64" s="18" t="s">
        <v>8</v>
      </c>
      <c r="D64" s="18" t="s">
        <v>22</v>
      </c>
      <c r="E64" s="25" t="s">
        <v>12</v>
      </c>
      <c r="F64" s="26">
        <v>45832</v>
      </c>
      <c r="G64" s="27" t="s">
        <v>421</v>
      </c>
      <c r="I64"/>
      <c r="J64"/>
    </row>
    <row r="65" spans="1:10" ht="15.75" customHeight="1" x14ac:dyDescent="0.25">
      <c r="A65" s="25" t="s">
        <v>544</v>
      </c>
      <c r="B65" s="122">
        <v>36.313333333333333</v>
      </c>
      <c r="C65" s="18" t="s">
        <v>8</v>
      </c>
      <c r="D65" s="18" t="s">
        <v>11</v>
      </c>
      <c r="E65" s="25" t="s">
        <v>12</v>
      </c>
      <c r="F65" s="26">
        <v>45832</v>
      </c>
      <c r="G65" s="27" t="s">
        <v>331</v>
      </c>
      <c r="I65"/>
      <c r="J65"/>
    </row>
    <row r="66" spans="1:10" ht="15.75" customHeight="1" x14ac:dyDescent="0.25">
      <c r="A66" s="25" t="s">
        <v>586</v>
      </c>
      <c r="B66" s="122">
        <v>68</v>
      </c>
      <c r="C66" s="18" t="s">
        <v>8</v>
      </c>
      <c r="D66" s="18" t="s">
        <v>22</v>
      </c>
      <c r="E66" s="25" t="s">
        <v>12</v>
      </c>
      <c r="F66" s="26">
        <v>45832</v>
      </c>
      <c r="G66" s="27" t="s">
        <v>331</v>
      </c>
      <c r="I66"/>
      <c r="J66"/>
    </row>
    <row r="67" spans="1:10" ht="15.75" customHeight="1" x14ac:dyDescent="0.25">
      <c r="A67" s="25" t="s">
        <v>590</v>
      </c>
      <c r="B67" s="122">
        <v>216.50333333333333</v>
      </c>
      <c r="C67" s="18" t="s">
        <v>8</v>
      </c>
      <c r="D67" s="18" t="s">
        <v>517</v>
      </c>
      <c r="E67" s="25" t="s">
        <v>12</v>
      </c>
      <c r="F67" s="26">
        <v>45833</v>
      </c>
      <c r="G67" s="27" t="s">
        <v>305</v>
      </c>
      <c r="I67"/>
      <c r="J67"/>
    </row>
    <row r="68" spans="1:10" ht="15.75" customHeight="1" x14ac:dyDescent="0.25">
      <c r="A68" s="25" t="s">
        <v>591</v>
      </c>
      <c r="B68" s="122">
        <v>50</v>
      </c>
      <c r="C68" s="18" t="s">
        <v>8</v>
      </c>
      <c r="D68" s="18" t="s">
        <v>114</v>
      </c>
      <c r="E68" s="25" t="s">
        <v>12</v>
      </c>
      <c r="F68" s="26">
        <v>45834</v>
      </c>
      <c r="G68" s="27" t="s">
        <v>493</v>
      </c>
      <c r="I68"/>
      <c r="J68"/>
    </row>
    <row r="69" spans="1:10" ht="15.75" customHeight="1" x14ac:dyDescent="0.25">
      <c r="A69" s="25" t="s">
        <v>614</v>
      </c>
      <c r="B69" s="130">
        <v>55.68</v>
      </c>
      <c r="C69" s="18" t="s">
        <v>8</v>
      </c>
      <c r="D69" s="18" t="s">
        <v>16</v>
      </c>
      <c r="E69" s="25" t="s">
        <v>17</v>
      </c>
      <c r="F69" s="26">
        <v>45841</v>
      </c>
      <c r="G69" s="27" t="s">
        <v>304</v>
      </c>
      <c r="I69"/>
      <c r="J69"/>
    </row>
    <row r="70" spans="1:10" ht="15.75" customHeight="1" x14ac:dyDescent="0.25">
      <c r="A70" s="25" t="s">
        <v>607</v>
      </c>
      <c r="B70" s="129">
        <v>30.66</v>
      </c>
      <c r="C70" s="18" t="s">
        <v>8</v>
      </c>
      <c r="D70" s="18" t="s">
        <v>114</v>
      </c>
      <c r="E70" s="25" t="s">
        <v>12</v>
      </c>
      <c r="F70" s="26">
        <v>45844</v>
      </c>
      <c r="G70" s="27" t="s">
        <v>300</v>
      </c>
      <c r="I70"/>
      <c r="J70"/>
    </row>
    <row r="71" spans="1:10" ht="15.75" customHeight="1" x14ac:dyDescent="0.25">
      <c r="A71" s="25" t="s">
        <v>454</v>
      </c>
      <c r="B71" s="133">
        <v>40.630000000000003</v>
      </c>
      <c r="C71" s="18" t="s">
        <v>8</v>
      </c>
      <c r="D71" s="18" t="s">
        <v>22</v>
      </c>
      <c r="E71" s="25" t="s">
        <v>12</v>
      </c>
      <c r="F71" s="26">
        <v>45848</v>
      </c>
      <c r="G71" s="27" t="s">
        <v>304</v>
      </c>
      <c r="I71"/>
      <c r="J71"/>
    </row>
    <row r="72" spans="1:10" ht="15.75" customHeight="1" x14ac:dyDescent="0.25">
      <c r="A72" s="25" t="s">
        <v>620</v>
      </c>
      <c r="B72" s="133">
        <v>129.54666666666665</v>
      </c>
      <c r="C72" s="18" t="s">
        <v>8</v>
      </c>
      <c r="D72" s="18" t="s">
        <v>16</v>
      </c>
      <c r="E72" s="25" t="s">
        <v>12</v>
      </c>
      <c r="F72" s="26">
        <v>45849</v>
      </c>
      <c r="G72" s="27" t="s">
        <v>304</v>
      </c>
      <c r="I72"/>
      <c r="J72"/>
    </row>
    <row r="73" spans="1:10" ht="15.75" customHeight="1" x14ac:dyDescent="0.25">
      <c r="A73" s="25" t="s">
        <v>623</v>
      </c>
      <c r="B73" s="133">
        <v>89</v>
      </c>
      <c r="C73" s="18" t="s">
        <v>8</v>
      </c>
      <c r="D73" s="18" t="s">
        <v>20</v>
      </c>
      <c r="E73" s="25" t="s">
        <v>12</v>
      </c>
      <c r="F73" s="26">
        <v>45852</v>
      </c>
      <c r="G73" s="27" t="s">
        <v>295</v>
      </c>
      <c r="I73"/>
      <c r="J73"/>
    </row>
    <row r="74" spans="1:10" ht="15.75" customHeight="1" x14ac:dyDescent="0.25">
      <c r="A74" s="25" t="s">
        <v>624</v>
      </c>
      <c r="B74" s="134">
        <v>153.03</v>
      </c>
      <c r="C74" s="18" t="s">
        <v>8</v>
      </c>
      <c r="D74" s="18" t="s">
        <v>517</v>
      </c>
      <c r="E74" s="25" t="s">
        <v>17</v>
      </c>
      <c r="F74" s="26">
        <v>45852</v>
      </c>
      <c r="G74" s="27" t="s">
        <v>304</v>
      </c>
      <c r="I74"/>
      <c r="J74"/>
    </row>
    <row r="75" spans="1:10" ht="15.75" customHeight="1" x14ac:dyDescent="0.25">
      <c r="A75" s="25" t="s">
        <v>626</v>
      </c>
      <c r="B75" s="138">
        <v>136.0575</v>
      </c>
      <c r="C75" s="18" t="s">
        <v>8</v>
      </c>
      <c r="D75" s="18" t="s">
        <v>517</v>
      </c>
      <c r="E75" s="25" t="s">
        <v>17</v>
      </c>
      <c r="F75" s="26">
        <v>45853</v>
      </c>
      <c r="G75" s="27" t="s">
        <v>295</v>
      </c>
      <c r="I75"/>
      <c r="J75"/>
    </row>
    <row r="76" spans="1:10" ht="15.75" customHeight="1" x14ac:dyDescent="0.25">
      <c r="A76" s="25" t="s">
        <v>627</v>
      </c>
      <c r="B76" s="138">
        <v>32.497500000000002</v>
      </c>
      <c r="C76" s="18" t="s">
        <v>8</v>
      </c>
      <c r="D76" s="18" t="s">
        <v>22</v>
      </c>
      <c r="E76" s="25" t="s">
        <v>12</v>
      </c>
      <c r="F76" s="26">
        <v>45852</v>
      </c>
      <c r="G76" s="27" t="s">
        <v>300</v>
      </c>
      <c r="I76"/>
      <c r="J76"/>
    </row>
    <row r="77" spans="1:10" ht="15.75" customHeight="1" x14ac:dyDescent="0.25">
      <c r="A77" s="25" t="s">
        <v>628</v>
      </c>
      <c r="B77" s="138">
        <v>49.45</v>
      </c>
      <c r="C77" s="18" t="s">
        <v>8</v>
      </c>
      <c r="D77" s="18" t="s">
        <v>22</v>
      </c>
      <c r="E77" s="25" t="s">
        <v>12</v>
      </c>
      <c r="F77" s="26">
        <v>45853</v>
      </c>
      <c r="G77" s="27" t="s">
        <v>327</v>
      </c>
      <c r="I77"/>
      <c r="J77"/>
    </row>
    <row r="78" spans="1:10" ht="15.75" customHeight="1" x14ac:dyDescent="0.25">
      <c r="A78" s="25" t="s">
        <v>631</v>
      </c>
      <c r="B78" s="138">
        <v>75.993333333333325</v>
      </c>
      <c r="C78" s="18" t="s">
        <v>8</v>
      </c>
      <c r="D78" s="18" t="s">
        <v>22</v>
      </c>
      <c r="E78" s="25" t="s">
        <v>12</v>
      </c>
      <c r="F78" s="26">
        <v>45854</v>
      </c>
      <c r="G78" s="27" t="s">
        <v>304</v>
      </c>
      <c r="I78"/>
      <c r="J78"/>
    </row>
    <row r="79" spans="1:10" ht="15.75" customHeight="1" x14ac:dyDescent="0.25">
      <c r="A79" s="25" t="s">
        <v>632</v>
      </c>
      <c r="B79" s="138">
        <v>81.563999999999993</v>
      </c>
      <c r="C79" s="18" t="s">
        <v>8</v>
      </c>
      <c r="D79" s="18" t="s">
        <v>11</v>
      </c>
      <c r="E79" s="25" t="s">
        <v>12</v>
      </c>
      <c r="F79" s="26">
        <v>45854</v>
      </c>
      <c r="G79" s="27" t="s">
        <v>492</v>
      </c>
      <c r="I79"/>
      <c r="J79"/>
    </row>
    <row r="80" spans="1:10" ht="15.75" customHeight="1" x14ac:dyDescent="0.25">
      <c r="A80" s="25" t="s">
        <v>633</v>
      </c>
      <c r="B80" s="138">
        <v>42.616666666666667</v>
      </c>
      <c r="C80" s="18" t="s">
        <v>8</v>
      </c>
      <c r="D80" s="18" t="s">
        <v>11</v>
      </c>
      <c r="E80" s="25" t="s">
        <v>12</v>
      </c>
      <c r="F80" s="26">
        <v>45854</v>
      </c>
      <c r="G80" s="27" t="s">
        <v>332</v>
      </c>
      <c r="I80"/>
      <c r="J80"/>
    </row>
    <row r="81" spans="1:10" ht="15.75" customHeight="1" x14ac:dyDescent="0.25">
      <c r="A81" s="25" t="s">
        <v>634</v>
      </c>
      <c r="B81" s="139">
        <v>30</v>
      </c>
      <c r="C81" s="18" t="s">
        <v>8</v>
      </c>
      <c r="D81" s="18" t="s">
        <v>11</v>
      </c>
      <c r="E81" s="25" t="s">
        <v>12</v>
      </c>
      <c r="F81" s="26">
        <v>45854</v>
      </c>
      <c r="G81" s="27" t="s">
        <v>492</v>
      </c>
      <c r="I81"/>
      <c r="J81"/>
    </row>
    <row r="82" spans="1:10" ht="15.75" customHeight="1" x14ac:dyDescent="0.25">
      <c r="A82" s="25" t="s">
        <v>637</v>
      </c>
      <c r="B82" s="143">
        <v>144.74666666666667</v>
      </c>
      <c r="C82" s="18" t="s">
        <v>8</v>
      </c>
      <c r="D82" s="18" t="s">
        <v>517</v>
      </c>
      <c r="E82" s="25" t="s">
        <v>12</v>
      </c>
      <c r="F82" s="26">
        <v>45855</v>
      </c>
      <c r="G82" s="27" t="s">
        <v>304</v>
      </c>
      <c r="I82"/>
      <c r="J82"/>
    </row>
    <row r="83" spans="1:10" ht="15.75" customHeight="1" x14ac:dyDescent="0.25">
      <c r="A83" s="25" t="s">
        <v>649</v>
      </c>
      <c r="B83" s="143">
        <v>411.48</v>
      </c>
      <c r="C83" s="18" t="s">
        <v>8</v>
      </c>
      <c r="D83" s="18" t="s">
        <v>118</v>
      </c>
      <c r="E83" s="25" t="s">
        <v>17</v>
      </c>
      <c r="F83" s="26">
        <v>45856</v>
      </c>
      <c r="G83" s="27" t="s">
        <v>295</v>
      </c>
      <c r="I83"/>
      <c r="J83"/>
    </row>
    <row r="84" spans="1:10" ht="15.75" customHeight="1" x14ac:dyDescent="0.25">
      <c r="A84" s="25" t="s">
        <v>651</v>
      </c>
      <c r="B84" s="143">
        <v>99.95</v>
      </c>
      <c r="C84" s="18" t="s">
        <v>8</v>
      </c>
      <c r="D84" s="18" t="s">
        <v>11</v>
      </c>
      <c r="E84" s="25" t="s">
        <v>17</v>
      </c>
      <c r="F84" s="26">
        <v>45857</v>
      </c>
      <c r="G84" s="27" t="s">
        <v>327</v>
      </c>
      <c r="I84"/>
      <c r="J84"/>
    </row>
    <row r="85" spans="1:10" ht="15.75" customHeight="1" x14ac:dyDescent="0.25">
      <c r="A85" s="25" t="s">
        <v>652</v>
      </c>
      <c r="B85" s="148">
        <v>44.5</v>
      </c>
      <c r="C85" s="18" t="s">
        <v>8</v>
      </c>
      <c r="D85" s="18" t="s">
        <v>11</v>
      </c>
      <c r="E85" s="147" t="s">
        <v>12</v>
      </c>
      <c r="F85" s="26">
        <v>45859</v>
      </c>
      <c r="G85" s="27" t="s">
        <v>332</v>
      </c>
      <c r="I85"/>
      <c r="J85"/>
    </row>
    <row r="86" spans="1:10" ht="15.75" customHeight="1" x14ac:dyDescent="0.25">
      <c r="A86" s="25" t="s">
        <v>371</v>
      </c>
      <c r="B86" s="148">
        <v>86.46</v>
      </c>
      <c r="C86" s="18" t="s">
        <v>8</v>
      </c>
      <c r="D86" s="150" t="s">
        <v>14</v>
      </c>
      <c r="E86" s="147" t="s">
        <v>12</v>
      </c>
      <c r="F86" s="26">
        <v>45862</v>
      </c>
      <c r="G86" s="27" t="s">
        <v>304</v>
      </c>
      <c r="I86"/>
      <c r="J86"/>
    </row>
    <row r="87" spans="1:10" ht="15.75" customHeight="1" x14ac:dyDescent="0.25">
      <c r="A87" s="25" t="s">
        <v>653</v>
      </c>
      <c r="B87" s="148">
        <v>61.666666666666664</v>
      </c>
      <c r="C87" s="18" t="s">
        <v>8</v>
      </c>
      <c r="D87" s="150" t="s">
        <v>16</v>
      </c>
      <c r="E87" s="147" t="s">
        <v>12</v>
      </c>
      <c r="F87" s="26">
        <v>45863</v>
      </c>
      <c r="G87" s="27" t="s">
        <v>304</v>
      </c>
      <c r="I87"/>
      <c r="J87"/>
    </row>
    <row r="88" spans="1:10" ht="15.75" customHeight="1" x14ac:dyDescent="0.25">
      <c r="A88" s="25" t="s">
        <v>654</v>
      </c>
      <c r="B88" s="148">
        <v>52.050000000000004</v>
      </c>
      <c r="C88" s="18" t="s">
        <v>8</v>
      </c>
      <c r="D88" s="150" t="s">
        <v>70</v>
      </c>
      <c r="E88" s="147" t="s">
        <v>12</v>
      </c>
      <c r="F88" s="26">
        <v>45864</v>
      </c>
      <c r="G88" s="27" t="s">
        <v>332</v>
      </c>
      <c r="I88"/>
      <c r="J88"/>
    </row>
    <row r="89" spans="1:10" ht="15.75" customHeight="1" x14ac:dyDescent="0.25">
      <c r="A89" s="25" t="s">
        <v>656</v>
      </c>
      <c r="B89" s="148">
        <v>157.25</v>
      </c>
      <c r="C89" s="18" t="s">
        <v>8</v>
      </c>
      <c r="D89" s="150" t="s">
        <v>70</v>
      </c>
      <c r="E89" s="147" t="s">
        <v>12</v>
      </c>
      <c r="F89" s="26">
        <v>45864</v>
      </c>
      <c r="G89" s="27" t="s">
        <v>420</v>
      </c>
      <c r="I89"/>
      <c r="J89"/>
    </row>
    <row r="90" spans="1:10" ht="15.75" customHeight="1" x14ac:dyDescent="0.25">
      <c r="A90" s="25" t="s">
        <v>662</v>
      </c>
      <c r="B90" s="148">
        <v>61.43</v>
      </c>
      <c r="C90" s="18" t="s">
        <v>8</v>
      </c>
      <c r="D90" s="150" t="s">
        <v>70</v>
      </c>
      <c r="E90" s="147" t="s">
        <v>17</v>
      </c>
      <c r="F90" s="26">
        <v>45864</v>
      </c>
      <c r="G90" s="27" t="s">
        <v>332</v>
      </c>
      <c r="I90"/>
      <c r="J90"/>
    </row>
    <row r="91" spans="1:10" ht="15.75" customHeight="1" x14ac:dyDescent="0.25">
      <c r="A91" s="25" t="s">
        <v>742</v>
      </c>
      <c r="B91" s="151">
        <v>99.399999999999991</v>
      </c>
      <c r="C91" s="18" t="s">
        <v>8</v>
      </c>
      <c r="D91" s="18" t="s">
        <v>14</v>
      </c>
      <c r="E91" s="25" t="s">
        <v>12</v>
      </c>
      <c r="F91" s="26">
        <v>45866</v>
      </c>
      <c r="G91" s="27" t="s">
        <v>304</v>
      </c>
      <c r="I91"/>
      <c r="J91"/>
    </row>
    <row r="92" spans="1:10" ht="15.75" customHeight="1" x14ac:dyDescent="0.25">
      <c r="C92" s="18"/>
      <c r="D92" s="18"/>
      <c r="I92"/>
      <c r="J92"/>
    </row>
    <row r="93" spans="1:10" ht="15.75" customHeight="1" x14ac:dyDescent="0.25">
      <c r="C93" s="18"/>
      <c r="D93" s="18"/>
      <c r="I93"/>
      <c r="J93"/>
    </row>
    <row r="94" spans="1:10" ht="15.75" customHeight="1" x14ac:dyDescent="0.25">
      <c r="C94" s="18"/>
      <c r="D94" s="18"/>
      <c r="I94"/>
      <c r="J94"/>
    </row>
    <row r="95" spans="1:10" ht="15.75" customHeight="1" x14ac:dyDescent="0.25">
      <c r="C95" s="18"/>
      <c r="D95" s="18"/>
      <c r="I95"/>
      <c r="J95"/>
    </row>
    <row r="96" spans="1:10" ht="15.75" customHeight="1" x14ac:dyDescent="0.25">
      <c r="C96" s="18"/>
      <c r="D96" s="18"/>
      <c r="I96"/>
      <c r="J96"/>
    </row>
    <row r="97" spans="3:10" ht="15.75" customHeight="1" x14ac:dyDescent="0.25">
      <c r="C97" s="18"/>
      <c r="D97" s="18"/>
      <c r="I97"/>
      <c r="J97"/>
    </row>
    <row r="98" spans="3:10" ht="15.75" customHeight="1" x14ac:dyDescent="0.25">
      <c r="C98" s="18"/>
      <c r="D98" s="18"/>
      <c r="I98"/>
      <c r="J98"/>
    </row>
    <row r="99" spans="3:10" ht="15.75" customHeight="1" x14ac:dyDescent="0.25">
      <c r="C99" s="18"/>
      <c r="D99" s="18"/>
      <c r="I99"/>
      <c r="J99"/>
    </row>
    <row r="100" spans="3:10" ht="15.75" customHeight="1" x14ac:dyDescent="0.25">
      <c r="C100" s="18"/>
      <c r="D100" s="18"/>
      <c r="I100"/>
      <c r="J100"/>
    </row>
    <row r="101" spans="3:10" ht="15.75" customHeight="1" x14ac:dyDescent="0.25">
      <c r="C101" s="18"/>
      <c r="D101" s="18"/>
      <c r="I101"/>
      <c r="J101"/>
    </row>
    <row r="102" spans="3:10" ht="15.75" customHeight="1" x14ac:dyDescent="0.25">
      <c r="C102" s="18"/>
      <c r="D102" s="18"/>
      <c r="I102"/>
      <c r="J102"/>
    </row>
    <row r="103" spans="3:10" ht="15.75" customHeight="1" x14ac:dyDescent="0.25">
      <c r="C103" s="18"/>
      <c r="D103" s="18"/>
      <c r="I103"/>
      <c r="J103"/>
    </row>
    <row r="104" spans="3:10" ht="15.75" customHeight="1" x14ac:dyDescent="0.25">
      <c r="C104" s="18"/>
      <c r="D104" s="18"/>
      <c r="I104"/>
      <c r="J104"/>
    </row>
    <row r="105" spans="3:10" ht="15.75" customHeight="1" x14ac:dyDescent="0.25">
      <c r="C105" s="18"/>
      <c r="D105" s="18"/>
      <c r="I105"/>
      <c r="J105"/>
    </row>
    <row r="106" spans="3:10" ht="15.75" customHeight="1" x14ac:dyDescent="0.25">
      <c r="C106" s="18"/>
      <c r="D106" s="18"/>
      <c r="I106"/>
      <c r="J106"/>
    </row>
    <row r="107" spans="3:10" ht="15.75" customHeight="1" x14ac:dyDescent="0.25">
      <c r="C107" s="18"/>
      <c r="D107" s="18"/>
      <c r="I107"/>
      <c r="J107"/>
    </row>
    <row r="108" spans="3:10" ht="15.75" customHeight="1" x14ac:dyDescent="0.25">
      <c r="C108" s="18"/>
      <c r="D108" s="18"/>
      <c r="I108"/>
      <c r="J108"/>
    </row>
    <row r="109" spans="3:10" ht="15.75" customHeight="1" x14ac:dyDescent="0.25">
      <c r="C109" s="18"/>
      <c r="D109" s="18"/>
      <c r="I109"/>
      <c r="J109"/>
    </row>
    <row r="110" spans="3:10" ht="15.75" customHeight="1" x14ac:dyDescent="0.25">
      <c r="C110" s="18"/>
      <c r="D110" s="18"/>
      <c r="I110"/>
      <c r="J110"/>
    </row>
    <row r="111" spans="3:10" ht="15.75" customHeight="1" x14ac:dyDescent="0.25">
      <c r="C111" s="18"/>
      <c r="D111" s="18"/>
      <c r="I111"/>
      <c r="J111"/>
    </row>
    <row r="112" spans="3:10" ht="15.75" customHeight="1" x14ac:dyDescent="0.25">
      <c r="C112" s="18"/>
      <c r="D112" s="18"/>
    </row>
    <row r="113" spans="3:4" ht="15.75" customHeight="1" x14ac:dyDescent="0.25">
      <c r="C113" s="18"/>
      <c r="D113" s="18"/>
    </row>
    <row r="114" spans="3:4" ht="15.75" customHeight="1" x14ac:dyDescent="0.25">
      <c r="C114" s="18"/>
      <c r="D114" s="18"/>
    </row>
    <row r="115" spans="3:4" ht="15.75" customHeight="1" x14ac:dyDescent="0.25">
      <c r="C115" s="18"/>
      <c r="D115" s="18"/>
    </row>
    <row r="116" spans="3:4" ht="15.75" customHeight="1" x14ac:dyDescent="0.25">
      <c r="C116" s="18"/>
      <c r="D116" s="18"/>
    </row>
    <row r="117" spans="3:4" ht="15.75" customHeight="1" x14ac:dyDescent="0.25">
      <c r="C117" s="18"/>
      <c r="D117" s="18"/>
    </row>
    <row r="118" spans="3:4" ht="15.75" customHeight="1" x14ac:dyDescent="0.25">
      <c r="C118" s="18"/>
      <c r="D118" s="18"/>
    </row>
    <row r="119" spans="3:4" ht="15.75" customHeight="1" x14ac:dyDescent="0.25">
      <c r="C119" s="18"/>
      <c r="D119" s="18"/>
    </row>
    <row r="120" spans="3:4" ht="15.75" customHeight="1" x14ac:dyDescent="0.25">
      <c r="C120" s="18"/>
      <c r="D120" s="18"/>
    </row>
    <row r="121" spans="3:4" ht="15.75" customHeight="1" x14ac:dyDescent="0.25">
      <c r="C121" s="18"/>
      <c r="D121" s="18"/>
    </row>
    <row r="122" spans="3:4" ht="15.75" customHeight="1" x14ac:dyDescent="0.25">
      <c r="C122" s="18"/>
      <c r="D122" s="18"/>
    </row>
    <row r="123" spans="3:4" ht="15.75" customHeight="1" x14ac:dyDescent="0.25">
      <c r="C123" s="18"/>
      <c r="D123" s="18"/>
    </row>
    <row r="124" spans="3:4" ht="15.75" customHeight="1" x14ac:dyDescent="0.25">
      <c r="C124" s="18"/>
      <c r="D124" s="18"/>
    </row>
    <row r="125" spans="3:4" ht="15.75" customHeight="1" x14ac:dyDescent="0.25">
      <c r="C125" s="18"/>
      <c r="D125" s="18"/>
    </row>
    <row r="126" spans="3:4" ht="15.75" customHeight="1" x14ac:dyDescent="0.25">
      <c r="C126" s="18"/>
      <c r="D126" s="18"/>
    </row>
    <row r="127" spans="3:4" ht="15.75" customHeight="1" x14ac:dyDescent="0.25">
      <c r="C127" s="18"/>
      <c r="D127" s="18"/>
    </row>
    <row r="128" spans="3:4" ht="15.75" customHeight="1" x14ac:dyDescent="0.25">
      <c r="C128" s="18"/>
      <c r="D128" s="18"/>
    </row>
    <row r="129" spans="3:4" ht="15.75" customHeight="1" x14ac:dyDescent="0.25">
      <c r="C129" s="18"/>
      <c r="D129" s="18"/>
    </row>
    <row r="130" spans="3:4" ht="15.75" customHeight="1" x14ac:dyDescent="0.25">
      <c r="C130" s="18"/>
      <c r="D130" s="18"/>
    </row>
    <row r="131" spans="3:4" ht="15.75" customHeight="1" x14ac:dyDescent="0.25">
      <c r="C131" s="18"/>
      <c r="D131" s="18"/>
    </row>
    <row r="132" spans="3:4" ht="15.75" customHeight="1" x14ac:dyDescent="0.25">
      <c r="C132" s="18"/>
      <c r="D132" s="18"/>
    </row>
    <row r="133" spans="3:4" ht="15.75" customHeight="1" x14ac:dyDescent="0.25">
      <c r="C133" s="18"/>
      <c r="D133" s="18"/>
    </row>
    <row r="134" spans="3:4" ht="15.75" customHeight="1" x14ac:dyDescent="0.25">
      <c r="C134" s="18"/>
      <c r="D134" s="18"/>
    </row>
    <row r="135" spans="3:4" ht="15.75" customHeight="1" x14ac:dyDescent="0.25">
      <c r="C135" s="18"/>
      <c r="D135" s="18"/>
    </row>
    <row r="136" spans="3:4" ht="15.75" customHeight="1" x14ac:dyDescent="0.25">
      <c r="C136" s="18"/>
      <c r="D136" s="18"/>
    </row>
    <row r="137" spans="3:4" ht="15.75" customHeight="1" x14ac:dyDescent="0.25">
      <c r="C137" s="18"/>
      <c r="D137" s="18"/>
    </row>
    <row r="138" spans="3:4" ht="15.75" customHeight="1" x14ac:dyDescent="0.25">
      <c r="C138" s="18"/>
      <c r="D138" s="18"/>
    </row>
    <row r="139" spans="3:4" ht="15.75" customHeight="1" x14ac:dyDescent="0.25">
      <c r="C139" s="18"/>
      <c r="D139" s="18"/>
    </row>
    <row r="140" spans="3:4" ht="15.75" customHeight="1" x14ac:dyDescent="0.25">
      <c r="C140" s="18"/>
      <c r="D140" s="18"/>
    </row>
    <row r="141" spans="3:4" ht="15.75" customHeight="1" x14ac:dyDescent="0.25">
      <c r="C141" s="18"/>
      <c r="D141" s="18"/>
    </row>
    <row r="142" spans="3:4" ht="15.75" customHeight="1" x14ac:dyDescent="0.25">
      <c r="C142" s="18"/>
      <c r="D142" s="18"/>
    </row>
    <row r="143" spans="3:4" ht="15.75" customHeight="1" x14ac:dyDescent="0.25">
      <c r="C143" s="18"/>
      <c r="D143" s="18"/>
    </row>
    <row r="144" spans="3:4" ht="15.75" customHeight="1" x14ac:dyDescent="0.25">
      <c r="C144" s="18"/>
      <c r="D144" s="18"/>
    </row>
    <row r="145" spans="3:4" ht="15.75" customHeight="1" x14ac:dyDescent="0.25">
      <c r="C145" s="18"/>
      <c r="D145" s="18"/>
    </row>
    <row r="146" spans="3:4" ht="15.75" customHeight="1" x14ac:dyDescent="0.25">
      <c r="C146" s="18"/>
      <c r="D146" s="18"/>
    </row>
    <row r="147" spans="3:4" ht="15.75" customHeight="1" x14ac:dyDescent="0.25">
      <c r="C147" s="18"/>
      <c r="D147" s="18"/>
    </row>
    <row r="148" spans="3:4" ht="15.75" customHeight="1" x14ac:dyDescent="0.25">
      <c r="C148" s="18"/>
      <c r="D148" s="18"/>
    </row>
    <row r="149" spans="3:4" ht="15.75" customHeight="1" x14ac:dyDescent="0.25">
      <c r="C149" s="18"/>
      <c r="D149" s="18"/>
    </row>
    <row r="150" spans="3:4" ht="15.75" customHeight="1" x14ac:dyDescent="0.25">
      <c r="C150" s="18"/>
      <c r="D150" s="18"/>
    </row>
    <row r="151" spans="3:4" ht="15.75" customHeight="1" x14ac:dyDescent="0.25">
      <c r="C151" s="18"/>
      <c r="D151" s="18"/>
    </row>
    <row r="152" spans="3:4" ht="15.75" customHeight="1" x14ac:dyDescent="0.25">
      <c r="C152" s="18"/>
      <c r="D152" s="18"/>
    </row>
    <row r="153" spans="3:4" ht="15.75" customHeight="1" x14ac:dyDescent="0.25">
      <c r="C153" s="18"/>
      <c r="D153" s="18"/>
    </row>
    <row r="154" spans="3:4" ht="15.75" customHeight="1" x14ac:dyDescent="0.25">
      <c r="C154" s="18"/>
      <c r="D154" s="18"/>
    </row>
    <row r="155" spans="3:4" ht="15.75" customHeight="1" x14ac:dyDescent="0.25">
      <c r="C155" s="18"/>
      <c r="D155" s="18"/>
    </row>
    <row r="156" spans="3:4" ht="15.75" customHeight="1" x14ac:dyDescent="0.25">
      <c r="C156" s="18"/>
      <c r="D156" s="18"/>
    </row>
    <row r="157" spans="3:4" ht="15.75" customHeight="1" x14ac:dyDescent="0.25">
      <c r="C157" s="18"/>
      <c r="D157" s="18"/>
    </row>
    <row r="158" spans="3:4" ht="15.75" customHeight="1" x14ac:dyDescent="0.25">
      <c r="C158" s="18"/>
      <c r="D158" s="18"/>
    </row>
    <row r="159" spans="3:4" ht="15.75" customHeight="1" x14ac:dyDescent="0.25">
      <c r="C159" s="18"/>
      <c r="D159" s="18"/>
    </row>
    <row r="160" spans="3: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>
      <c r="C972" s="18"/>
      <c r="D972" s="18"/>
    </row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0BBF7-2DF3-4033-BBFE-8FBB2231F44D}">
  <sheetPr codeName="Sheet12"/>
  <dimension ref="A1:K997"/>
  <sheetViews>
    <sheetView workbookViewId="0">
      <selection activeCell="C8" sqref="C8"/>
    </sheetView>
  </sheetViews>
  <sheetFormatPr defaultColWidth="14.42578125" defaultRowHeight="15" customHeight="1" x14ac:dyDescent="0.25"/>
  <cols>
    <col min="1" max="1" width="28.85546875" style="25" bestFit="1" customWidth="1"/>
    <col min="2" max="2" width="9.7109375" style="141" customWidth="1"/>
    <col min="3" max="3" width="12.7109375" style="25" customWidth="1"/>
    <col min="4" max="4" width="16.5703125" style="25" customWidth="1"/>
    <col min="5" max="5" width="9.5703125" style="25" customWidth="1"/>
    <col min="6" max="6" width="14.28515625" style="25" customWidth="1"/>
    <col min="7" max="7" width="10.5703125" style="25" customWidth="1"/>
    <col min="8" max="8" width="8.7109375" style="25" customWidth="1"/>
    <col min="9" max="9" width="16.42578125" style="25" bestFit="1" customWidth="1"/>
    <col min="10" max="10" width="14.85546875" style="25" bestFit="1" customWidth="1"/>
    <col min="11" max="26" width="8.7109375" style="25" customWidth="1"/>
    <col min="27" max="16384" width="14.42578125" style="25"/>
  </cols>
  <sheetData>
    <row r="1" spans="1:11" x14ac:dyDescent="0.25">
      <c r="A1" s="184" t="s">
        <v>0</v>
      </c>
      <c r="B1" s="188">
        <f>SUMIF('09_2025'!$C$5:$C$72,"Expense",'09_2025'!$B$5:$B$72)-SUMIF('09_2025'!$C$5:$C$72,"Income",'09_2025'!$B$5:$B$72)</f>
        <v>-11065.206357142861</v>
      </c>
    </row>
    <row r="2" spans="1:11" ht="15" customHeight="1" x14ac:dyDescent="0.25">
      <c r="A2" s="186"/>
      <c r="B2" s="189"/>
    </row>
    <row r="3" spans="1:11" x14ac:dyDescent="0.25">
      <c r="F3" s="18">
        <v>12</v>
      </c>
    </row>
    <row r="4" spans="1:11" x14ac:dyDescent="0.25">
      <c r="A4" s="18" t="s">
        <v>1</v>
      </c>
      <c r="B4" s="2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  <c r="I4" s="11" t="s">
        <v>129</v>
      </c>
      <c r="J4" s="12" t="s">
        <v>131</v>
      </c>
      <c r="K4"/>
    </row>
    <row r="5" spans="1:11" x14ac:dyDescent="0.25">
      <c r="A5" s="18" t="s">
        <v>60</v>
      </c>
      <c r="B5" s="3">
        <v>289</v>
      </c>
      <c r="C5" s="18" t="s">
        <v>8</v>
      </c>
      <c r="D5" s="18" t="s">
        <v>61</v>
      </c>
      <c r="E5" s="8" t="s">
        <v>12</v>
      </c>
      <c r="F5" s="5" t="s">
        <v>217</v>
      </c>
      <c r="G5" s="27"/>
      <c r="I5" s="13" t="s">
        <v>70</v>
      </c>
      <c r="J5" s="14">
        <v>5000</v>
      </c>
      <c r="K5"/>
    </row>
    <row r="6" spans="1:11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 t="s">
        <v>217</v>
      </c>
      <c r="G6" s="27"/>
      <c r="I6" s="13" t="s">
        <v>20</v>
      </c>
      <c r="J6" s="14">
        <v>205.7</v>
      </c>
      <c r="K6"/>
    </row>
    <row r="7" spans="1:11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 t="s">
        <v>218</v>
      </c>
      <c r="G7" s="27"/>
      <c r="I7" s="13" t="s">
        <v>22</v>
      </c>
      <c r="J7" s="14">
        <v>2635.1443333333336</v>
      </c>
      <c r="K7"/>
    </row>
    <row r="8" spans="1:11" x14ac:dyDescent="0.25">
      <c r="A8" s="18" t="s">
        <v>67</v>
      </c>
      <c r="B8" s="3">
        <v>250</v>
      </c>
      <c r="C8" s="18" t="s">
        <v>8</v>
      </c>
      <c r="D8" s="18" t="s">
        <v>68</v>
      </c>
      <c r="E8" s="8" t="s">
        <v>12</v>
      </c>
      <c r="F8" s="5" t="s">
        <v>219</v>
      </c>
      <c r="G8" s="27"/>
      <c r="I8" s="13" t="s">
        <v>108</v>
      </c>
      <c r="J8" s="14">
        <v>346.14</v>
      </c>
      <c r="K8"/>
    </row>
    <row r="9" spans="1:11" x14ac:dyDescent="0.25">
      <c r="A9" s="18" t="s">
        <v>69</v>
      </c>
      <c r="B9" s="3">
        <v>5000</v>
      </c>
      <c r="C9" s="18" t="s">
        <v>8</v>
      </c>
      <c r="D9" s="18" t="s">
        <v>70</v>
      </c>
      <c r="E9" s="8" t="s">
        <v>12</v>
      </c>
      <c r="F9" s="5" t="s">
        <v>220</v>
      </c>
      <c r="G9" s="27"/>
      <c r="I9" s="13" t="s">
        <v>114</v>
      </c>
      <c r="J9" s="14">
        <v>997.48</v>
      </c>
      <c r="K9"/>
    </row>
    <row r="10" spans="1:11" x14ac:dyDescent="0.25">
      <c r="A10" s="18" t="s">
        <v>74</v>
      </c>
      <c r="B10" s="3">
        <v>5710.37</v>
      </c>
      <c r="C10" s="18" t="s">
        <v>72</v>
      </c>
      <c r="D10" s="18" t="s">
        <v>73</v>
      </c>
      <c r="E10" s="8" t="s">
        <v>12</v>
      </c>
      <c r="F10" s="5" t="s">
        <v>220</v>
      </c>
      <c r="G10" s="27"/>
      <c r="I10" s="13" t="s">
        <v>63</v>
      </c>
      <c r="J10" s="14">
        <v>560</v>
      </c>
      <c r="K10"/>
    </row>
    <row r="11" spans="1:11" x14ac:dyDescent="0.25">
      <c r="A11" s="18" t="s">
        <v>75</v>
      </c>
      <c r="B11" s="3">
        <v>60</v>
      </c>
      <c r="C11" s="18" t="s">
        <v>8</v>
      </c>
      <c r="D11" s="18" t="s">
        <v>63</v>
      </c>
      <c r="E11" s="8" t="s">
        <v>12</v>
      </c>
      <c r="F11" s="5" t="s">
        <v>221</v>
      </c>
      <c r="G11" s="27"/>
      <c r="I11" s="13" t="s">
        <v>61</v>
      </c>
      <c r="J11" s="14">
        <v>653.53875000000005</v>
      </c>
      <c r="K11"/>
    </row>
    <row r="12" spans="1:11" x14ac:dyDescent="0.25">
      <c r="A12" s="18" t="s">
        <v>76</v>
      </c>
      <c r="B12" s="3">
        <v>100</v>
      </c>
      <c r="C12" s="18" t="s">
        <v>8</v>
      </c>
      <c r="D12" s="18" t="s">
        <v>63</v>
      </c>
      <c r="E12" s="8" t="s">
        <v>12</v>
      </c>
      <c r="F12" s="5" t="s">
        <v>222</v>
      </c>
      <c r="G12" s="27"/>
      <c r="I12" s="13" t="s">
        <v>16</v>
      </c>
      <c r="J12" s="14">
        <v>258.35166666666669</v>
      </c>
      <c r="K12"/>
    </row>
    <row r="13" spans="1:11" x14ac:dyDescent="0.25">
      <c r="A13" s="18" t="s">
        <v>77</v>
      </c>
      <c r="B13" s="3">
        <v>49.9</v>
      </c>
      <c r="C13" s="18" t="s">
        <v>8</v>
      </c>
      <c r="D13" s="18" t="s">
        <v>20</v>
      </c>
      <c r="E13" s="8" t="s">
        <v>12</v>
      </c>
      <c r="F13" s="5" t="s">
        <v>222</v>
      </c>
      <c r="G13" s="27"/>
      <c r="I13" s="13" t="s">
        <v>14</v>
      </c>
      <c r="J13" s="14">
        <v>132.32233333333335</v>
      </c>
      <c r="K13"/>
    </row>
    <row r="14" spans="1:11" x14ac:dyDescent="0.25">
      <c r="A14" s="18" t="s">
        <v>78</v>
      </c>
      <c r="B14" s="3">
        <v>16.899999999999999</v>
      </c>
      <c r="C14" s="18" t="s">
        <v>8</v>
      </c>
      <c r="D14" s="18" t="s">
        <v>20</v>
      </c>
      <c r="E14" s="8" t="s">
        <v>12</v>
      </c>
      <c r="F14" s="5" t="s">
        <v>223</v>
      </c>
      <c r="G14" s="27"/>
      <c r="I14" s="13" t="s">
        <v>73</v>
      </c>
      <c r="J14" s="14">
        <v>26110.37</v>
      </c>
      <c r="K14"/>
    </row>
    <row r="15" spans="1:11" s="140" customFormat="1" x14ac:dyDescent="0.25">
      <c r="A15" s="126" t="s">
        <v>411</v>
      </c>
      <c r="B15" s="3">
        <v>113.75</v>
      </c>
      <c r="C15" s="126" t="s">
        <v>8</v>
      </c>
      <c r="D15" s="18" t="s">
        <v>68</v>
      </c>
      <c r="E15" s="8" t="s">
        <v>12</v>
      </c>
      <c r="F15" s="5">
        <v>45899</v>
      </c>
      <c r="G15" s="27"/>
      <c r="I15" s="13" t="s">
        <v>68</v>
      </c>
      <c r="J15" s="14">
        <v>1829.15</v>
      </c>
      <c r="K15"/>
    </row>
    <row r="16" spans="1:11" x14ac:dyDescent="0.25">
      <c r="A16" s="18" t="s">
        <v>80</v>
      </c>
      <c r="B16" s="3">
        <v>857</v>
      </c>
      <c r="C16" s="18" t="s">
        <v>8</v>
      </c>
      <c r="D16" s="18" t="s">
        <v>68</v>
      </c>
      <c r="E16" s="8" t="s">
        <v>12</v>
      </c>
      <c r="F16" s="5" t="s">
        <v>224</v>
      </c>
      <c r="G16" s="27"/>
      <c r="I16" s="13" t="s">
        <v>11</v>
      </c>
      <c r="J16" s="14">
        <v>461.26739285714291</v>
      </c>
      <c r="K16"/>
    </row>
    <row r="17" spans="1:11" x14ac:dyDescent="0.25">
      <c r="A17" s="18" t="s">
        <v>81</v>
      </c>
      <c r="B17" s="3">
        <v>113.7</v>
      </c>
      <c r="C17" s="18" t="s">
        <v>8</v>
      </c>
      <c r="D17" s="18" t="s">
        <v>68</v>
      </c>
      <c r="E17" s="8" t="s">
        <v>12</v>
      </c>
      <c r="F17" s="5" t="s">
        <v>224</v>
      </c>
      <c r="G17" s="27"/>
      <c r="I17" s="13" t="s">
        <v>118</v>
      </c>
      <c r="J17" s="14">
        <v>411.48</v>
      </c>
      <c r="K17"/>
    </row>
    <row r="18" spans="1:11" x14ac:dyDescent="0.25">
      <c r="A18" s="18" t="s">
        <v>82</v>
      </c>
      <c r="B18" s="3">
        <v>100</v>
      </c>
      <c r="C18" s="18" t="s">
        <v>8</v>
      </c>
      <c r="D18" s="18" t="s">
        <v>68</v>
      </c>
      <c r="E18" s="8" t="s">
        <v>12</v>
      </c>
      <c r="F18" s="5" t="s">
        <v>224</v>
      </c>
      <c r="G18" s="27"/>
      <c r="I18" s="13" t="s">
        <v>517</v>
      </c>
      <c r="J18" s="14">
        <v>991.8325000000001</v>
      </c>
      <c r="K18"/>
    </row>
    <row r="19" spans="1:11" x14ac:dyDescent="0.25">
      <c r="A19" s="137" t="s">
        <v>625</v>
      </c>
      <c r="B19" s="3">
        <v>394.7</v>
      </c>
      <c r="C19" s="18" t="s">
        <v>8</v>
      </c>
      <c r="D19" s="18" t="s">
        <v>68</v>
      </c>
      <c r="E19" s="8" t="s">
        <v>12</v>
      </c>
      <c r="F19" s="5">
        <v>45868</v>
      </c>
      <c r="G19" s="27"/>
      <c r="I19" s="15" t="s">
        <v>130</v>
      </c>
      <c r="J19" s="16">
        <v>40592.776976190478</v>
      </c>
      <c r="K19"/>
    </row>
    <row r="20" spans="1:11" x14ac:dyDescent="0.25">
      <c r="A20" s="18" t="s">
        <v>83</v>
      </c>
      <c r="B20" s="3">
        <v>4400</v>
      </c>
      <c r="C20" s="18" t="s">
        <v>72</v>
      </c>
      <c r="D20" s="18" t="s">
        <v>73</v>
      </c>
      <c r="E20" s="8" t="s">
        <v>12</v>
      </c>
      <c r="F20" s="5" t="s">
        <v>224</v>
      </c>
      <c r="G20" s="27"/>
      <c r="I20"/>
      <c r="J20"/>
      <c r="K20"/>
    </row>
    <row r="21" spans="1:11" ht="15.75" customHeight="1" x14ac:dyDescent="0.25">
      <c r="A21" s="126" t="s">
        <v>601</v>
      </c>
      <c r="B21" s="3">
        <v>16000</v>
      </c>
      <c r="C21" s="18" t="s">
        <v>72</v>
      </c>
      <c r="D21" s="18" t="s">
        <v>73</v>
      </c>
      <c r="E21" s="8" t="s">
        <v>17</v>
      </c>
      <c r="F21" s="5" t="s">
        <v>224</v>
      </c>
      <c r="G21" s="27"/>
      <c r="I21"/>
      <c r="J21"/>
      <c r="K21"/>
    </row>
    <row r="22" spans="1:11" ht="15.75" customHeight="1" x14ac:dyDescent="0.25">
      <c r="A22" s="144" t="s">
        <v>636</v>
      </c>
      <c r="B22" s="3">
        <v>800</v>
      </c>
      <c r="C22" s="18" t="s">
        <v>8</v>
      </c>
      <c r="D22" s="144" t="s">
        <v>114</v>
      </c>
      <c r="E22" s="8" t="s">
        <v>12</v>
      </c>
      <c r="F22" s="5">
        <v>45868</v>
      </c>
      <c r="G22" s="27"/>
      <c r="I22"/>
      <c r="J22"/>
    </row>
    <row r="23" spans="1:11" ht="15.75" customHeight="1" x14ac:dyDescent="0.25">
      <c r="A23" s="126" t="s">
        <v>533</v>
      </c>
      <c r="B23" s="3">
        <v>2000</v>
      </c>
      <c r="C23" s="18" t="s">
        <v>8</v>
      </c>
      <c r="D23" s="126" t="s">
        <v>22</v>
      </c>
      <c r="E23" s="8" t="s">
        <v>17</v>
      </c>
      <c r="F23" s="5">
        <v>45868</v>
      </c>
      <c r="G23" s="27"/>
      <c r="I23"/>
      <c r="J23"/>
    </row>
    <row r="24" spans="1:11" ht="15.75" customHeight="1" x14ac:dyDescent="0.25">
      <c r="A24" s="29" t="s">
        <v>315</v>
      </c>
      <c r="B24" s="3">
        <f>877.5/12</f>
        <v>73.125</v>
      </c>
      <c r="C24" s="2" t="s">
        <v>8</v>
      </c>
      <c r="D24" s="2" t="s">
        <v>16</v>
      </c>
      <c r="E24" s="8" t="s">
        <v>12</v>
      </c>
      <c r="F24" s="5">
        <v>45629</v>
      </c>
      <c r="G24" s="31" t="s">
        <v>320</v>
      </c>
      <c r="I24"/>
      <c r="J24"/>
    </row>
    <row r="25" spans="1:11" ht="15.75" customHeight="1" x14ac:dyDescent="0.25">
      <c r="A25" s="30" t="s">
        <v>316</v>
      </c>
      <c r="B25" s="28">
        <v>346.14</v>
      </c>
      <c r="C25" s="2" t="s">
        <v>8</v>
      </c>
      <c r="D25" s="18" t="s">
        <v>108</v>
      </c>
      <c r="E25" s="18" t="s">
        <v>12</v>
      </c>
      <c r="F25" s="5">
        <v>45657</v>
      </c>
      <c r="G25" s="31" t="s">
        <v>321</v>
      </c>
      <c r="I25"/>
      <c r="J25"/>
    </row>
    <row r="26" spans="1:11" ht="15.75" customHeight="1" x14ac:dyDescent="0.25">
      <c r="A26" s="30" t="s">
        <v>318</v>
      </c>
      <c r="B26" s="3">
        <v>68.8</v>
      </c>
      <c r="C26" s="18" t="s">
        <v>8</v>
      </c>
      <c r="D26" s="18" t="s">
        <v>22</v>
      </c>
      <c r="E26" s="8" t="s">
        <v>12</v>
      </c>
      <c r="F26" s="5">
        <v>45668</v>
      </c>
      <c r="G26" s="31" t="s">
        <v>314</v>
      </c>
      <c r="I26"/>
      <c r="J26"/>
    </row>
    <row r="27" spans="1:11" ht="15.75" customHeight="1" x14ac:dyDescent="0.25">
      <c r="A27" s="29" t="s">
        <v>319</v>
      </c>
      <c r="B27" s="3">
        <f>598.8/12</f>
        <v>49.9</v>
      </c>
      <c r="C27" s="2" t="s">
        <v>8</v>
      </c>
      <c r="D27" s="2" t="s">
        <v>20</v>
      </c>
      <c r="E27" s="2" t="s">
        <v>12</v>
      </c>
      <c r="F27" s="5">
        <v>45681</v>
      </c>
      <c r="G27" s="31" t="s">
        <v>314</v>
      </c>
      <c r="I27"/>
      <c r="J27"/>
    </row>
    <row r="28" spans="1:11" ht="15.75" customHeight="1" x14ac:dyDescent="0.25">
      <c r="A28" s="25" t="s">
        <v>282</v>
      </c>
      <c r="B28" s="141">
        <v>39.134999999999998</v>
      </c>
      <c r="C28" s="18" t="s">
        <v>8</v>
      </c>
      <c r="D28" s="18" t="s">
        <v>22</v>
      </c>
      <c r="E28" s="25" t="s">
        <v>12</v>
      </c>
      <c r="F28" s="26">
        <v>45718</v>
      </c>
      <c r="G28" s="31" t="s">
        <v>322</v>
      </c>
      <c r="I28"/>
      <c r="J28"/>
    </row>
    <row r="29" spans="1:11" ht="15.75" customHeight="1" x14ac:dyDescent="0.25">
      <c r="A29" s="25" t="s">
        <v>391</v>
      </c>
      <c r="B29" s="141">
        <v>36.907499999999999</v>
      </c>
      <c r="C29" s="18" t="s">
        <v>8</v>
      </c>
      <c r="D29" s="18" t="s">
        <v>22</v>
      </c>
      <c r="E29" s="25" t="s">
        <v>17</v>
      </c>
      <c r="F29" s="26">
        <v>45734</v>
      </c>
      <c r="G29" s="27" t="s">
        <v>311</v>
      </c>
      <c r="I29"/>
      <c r="J29"/>
    </row>
    <row r="30" spans="1:11" ht="15.75" customHeight="1" x14ac:dyDescent="0.25">
      <c r="A30" s="25" t="s">
        <v>392</v>
      </c>
      <c r="B30" s="141">
        <v>133.25</v>
      </c>
      <c r="C30" s="18" t="s">
        <v>8</v>
      </c>
      <c r="D30" s="18" t="s">
        <v>22</v>
      </c>
      <c r="E30" s="25" t="s">
        <v>17</v>
      </c>
      <c r="F30" s="26">
        <v>45734</v>
      </c>
      <c r="G30" s="27" t="s">
        <v>311</v>
      </c>
      <c r="I30"/>
      <c r="J30"/>
    </row>
    <row r="31" spans="1:11" ht="15.75" customHeight="1" x14ac:dyDescent="0.25">
      <c r="A31" s="25" t="s">
        <v>418</v>
      </c>
      <c r="B31" s="141">
        <v>52.28875</v>
      </c>
      <c r="C31" s="18" t="s">
        <v>8</v>
      </c>
      <c r="D31" s="18" t="s">
        <v>61</v>
      </c>
      <c r="E31" s="25" t="s">
        <v>12</v>
      </c>
      <c r="F31" s="26">
        <v>45753</v>
      </c>
      <c r="G31" s="27" t="s">
        <v>355</v>
      </c>
      <c r="I31"/>
      <c r="J31"/>
    </row>
    <row r="32" spans="1:11" ht="15.75" customHeight="1" x14ac:dyDescent="0.25">
      <c r="A32" s="25" t="s">
        <v>439</v>
      </c>
      <c r="B32" s="141">
        <v>123.5</v>
      </c>
      <c r="C32" s="18" t="s">
        <v>8</v>
      </c>
      <c r="D32" s="18" t="s">
        <v>11</v>
      </c>
      <c r="E32" s="25" t="s">
        <v>12</v>
      </c>
      <c r="F32" s="26">
        <v>45771</v>
      </c>
      <c r="G32" s="27" t="s">
        <v>353</v>
      </c>
      <c r="I32"/>
      <c r="J32"/>
    </row>
    <row r="33" spans="1:10" ht="15.75" customHeight="1" x14ac:dyDescent="0.25">
      <c r="A33" s="25" t="s">
        <v>447</v>
      </c>
      <c r="B33" s="141">
        <v>50.949999999999996</v>
      </c>
      <c r="C33" s="18" t="s">
        <v>8</v>
      </c>
      <c r="D33" s="18" t="s">
        <v>14</v>
      </c>
      <c r="E33" s="25" t="s">
        <v>12</v>
      </c>
      <c r="F33" s="26">
        <v>45775</v>
      </c>
      <c r="G33" s="27" t="s">
        <v>353</v>
      </c>
      <c r="I33"/>
      <c r="J33"/>
    </row>
    <row r="34" spans="1:10" ht="15.75" customHeight="1" x14ac:dyDescent="0.25">
      <c r="A34" s="25" t="s">
        <v>456</v>
      </c>
      <c r="B34" s="141">
        <v>52.06</v>
      </c>
      <c r="C34" s="18" t="s">
        <v>8</v>
      </c>
      <c r="D34" s="18" t="s">
        <v>22</v>
      </c>
      <c r="E34" s="25" t="s">
        <v>12</v>
      </c>
      <c r="F34" s="26">
        <v>45780</v>
      </c>
      <c r="G34" s="27" t="s">
        <v>336</v>
      </c>
      <c r="I34"/>
      <c r="J34"/>
    </row>
    <row r="35" spans="1:10" ht="15.75" customHeight="1" x14ac:dyDescent="0.25">
      <c r="A35" s="25" t="s">
        <v>457</v>
      </c>
      <c r="B35" s="141">
        <v>39.699999999999996</v>
      </c>
      <c r="C35" s="18" t="s">
        <v>8</v>
      </c>
      <c r="D35" s="18" t="s">
        <v>114</v>
      </c>
      <c r="E35" s="25" t="s">
        <v>12</v>
      </c>
      <c r="F35" s="26">
        <v>45780</v>
      </c>
      <c r="G35" s="27" t="s">
        <v>334</v>
      </c>
      <c r="I35"/>
      <c r="J35"/>
    </row>
    <row r="36" spans="1:10" ht="15.75" customHeight="1" x14ac:dyDescent="0.25">
      <c r="A36" s="25" t="s">
        <v>490</v>
      </c>
      <c r="B36" s="141">
        <v>53.569000000000003</v>
      </c>
      <c r="C36" s="18" t="s">
        <v>8</v>
      </c>
      <c r="D36" s="18" t="s">
        <v>14</v>
      </c>
      <c r="E36" s="25" t="s">
        <v>12</v>
      </c>
      <c r="F36" s="26">
        <v>45799</v>
      </c>
      <c r="G36" s="27" t="s">
        <v>335</v>
      </c>
      <c r="I36"/>
      <c r="J36"/>
    </row>
    <row r="37" spans="1:10" ht="15.75" customHeight="1" x14ac:dyDescent="0.25">
      <c r="A37" s="25" t="s">
        <v>505</v>
      </c>
      <c r="B37" s="141">
        <v>81.599999999999994</v>
      </c>
      <c r="C37" s="18" t="s">
        <v>8</v>
      </c>
      <c r="D37" s="18" t="s">
        <v>11</v>
      </c>
      <c r="E37" s="25" t="s">
        <v>12</v>
      </c>
      <c r="F37" s="26">
        <v>45805</v>
      </c>
      <c r="G37" s="27" t="s">
        <v>310</v>
      </c>
      <c r="I37"/>
      <c r="J37"/>
    </row>
    <row r="38" spans="1:10" ht="15.75" customHeight="1" x14ac:dyDescent="0.25">
      <c r="A38" s="25" t="s">
        <v>514</v>
      </c>
      <c r="B38" s="141">
        <v>31.995999999999999</v>
      </c>
      <c r="C38" s="18" t="s">
        <v>8</v>
      </c>
      <c r="D38" s="18" t="s">
        <v>22</v>
      </c>
      <c r="E38" s="25" t="s">
        <v>12</v>
      </c>
      <c r="F38" s="26">
        <v>45811</v>
      </c>
      <c r="G38" s="27" t="s">
        <v>309</v>
      </c>
      <c r="I38"/>
      <c r="J38"/>
    </row>
    <row r="39" spans="1:10" ht="15.75" customHeight="1" x14ac:dyDescent="0.25">
      <c r="A39" s="25" t="s">
        <v>518</v>
      </c>
      <c r="B39" s="141">
        <v>133.64000000000001</v>
      </c>
      <c r="C39" s="18" t="s">
        <v>8</v>
      </c>
      <c r="D39" s="18" t="s">
        <v>517</v>
      </c>
      <c r="E39" s="25" t="s">
        <v>17</v>
      </c>
      <c r="F39" s="26">
        <v>45798</v>
      </c>
      <c r="G39" s="27" t="s">
        <v>523</v>
      </c>
      <c r="I39"/>
      <c r="J39"/>
    </row>
    <row r="40" spans="1:10" ht="15.75" customHeight="1" x14ac:dyDescent="0.25">
      <c r="A40" s="25" t="s">
        <v>527</v>
      </c>
      <c r="B40" s="141">
        <v>133.64000000000001</v>
      </c>
      <c r="C40" s="18" t="s">
        <v>8</v>
      </c>
      <c r="D40" s="18" t="s">
        <v>517</v>
      </c>
      <c r="E40" s="25" t="s">
        <v>17</v>
      </c>
      <c r="F40" s="26">
        <v>45810</v>
      </c>
      <c r="G40" s="27" t="s">
        <v>522</v>
      </c>
      <c r="I40"/>
      <c r="J40"/>
    </row>
    <row r="41" spans="1:10" ht="15.75" customHeight="1" x14ac:dyDescent="0.25">
      <c r="A41" s="25" t="s">
        <v>544</v>
      </c>
      <c r="B41" s="141">
        <v>77.12</v>
      </c>
      <c r="C41" s="18" t="s">
        <v>8</v>
      </c>
      <c r="D41" s="18" t="s">
        <v>114</v>
      </c>
      <c r="E41" s="25" t="s">
        <v>12</v>
      </c>
      <c r="F41" s="26">
        <v>45816</v>
      </c>
      <c r="G41" s="27" t="s">
        <v>329</v>
      </c>
      <c r="I41"/>
      <c r="J41"/>
    </row>
    <row r="42" spans="1:10" ht="15.75" customHeight="1" x14ac:dyDescent="0.25">
      <c r="A42" s="25" t="s">
        <v>554</v>
      </c>
      <c r="B42" s="141">
        <v>138.91499999999999</v>
      </c>
      <c r="C42" s="18" t="s">
        <v>8</v>
      </c>
      <c r="D42" s="18" t="s">
        <v>517</v>
      </c>
      <c r="E42" s="25" t="s">
        <v>17</v>
      </c>
      <c r="F42" s="26">
        <v>45823</v>
      </c>
      <c r="G42" s="27" t="s">
        <v>328</v>
      </c>
      <c r="I42"/>
      <c r="J42"/>
    </row>
    <row r="43" spans="1:10" ht="15.75" customHeight="1" x14ac:dyDescent="0.25">
      <c r="A43" s="25" t="s">
        <v>555</v>
      </c>
      <c r="B43" s="141">
        <v>151.80333333333334</v>
      </c>
      <c r="C43" s="18" t="s">
        <v>8</v>
      </c>
      <c r="D43" s="18" t="s">
        <v>517</v>
      </c>
      <c r="E43" s="25" t="s">
        <v>17</v>
      </c>
      <c r="F43" s="26">
        <v>45823</v>
      </c>
      <c r="G43" s="27" t="s">
        <v>328</v>
      </c>
      <c r="I43"/>
      <c r="J43"/>
    </row>
    <row r="44" spans="1:10" ht="15.75" customHeight="1" x14ac:dyDescent="0.25">
      <c r="A44" s="25" t="s">
        <v>564</v>
      </c>
      <c r="B44" s="141">
        <v>11.417142857142858</v>
      </c>
      <c r="C44" s="18" t="s">
        <v>8</v>
      </c>
      <c r="D44" s="18" t="s">
        <v>11</v>
      </c>
      <c r="E44" s="25" t="s">
        <v>12</v>
      </c>
      <c r="F44" s="26">
        <v>45824</v>
      </c>
      <c r="G44" s="27" t="s">
        <v>522</v>
      </c>
      <c r="I44"/>
      <c r="J44"/>
    </row>
    <row r="45" spans="1:10" ht="15.75" customHeight="1" x14ac:dyDescent="0.25">
      <c r="A45" s="25" t="s">
        <v>572</v>
      </c>
      <c r="B45" s="141">
        <v>22.349999999999998</v>
      </c>
      <c r="C45" s="18" t="s">
        <v>8</v>
      </c>
      <c r="D45" s="18" t="s">
        <v>61</v>
      </c>
      <c r="E45" s="25" t="s">
        <v>12</v>
      </c>
      <c r="F45" s="26">
        <v>45831</v>
      </c>
      <c r="G45" s="27" t="s">
        <v>297</v>
      </c>
      <c r="I45"/>
      <c r="J45"/>
    </row>
    <row r="46" spans="1:10" ht="15.75" customHeight="1" x14ac:dyDescent="0.25">
      <c r="A46" s="25" t="s">
        <v>573</v>
      </c>
      <c r="B46" s="141">
        <v>54.256250000000001</v>
      </c>
      <c r="C46" s="18" t="s">
        <v>8</v>
      </c>
      <c r="D46" s="18" t="s">
        <v>11</v>
      </c>
      <c r="E46" s="25" t="s">
        <v>12</v>
      </c>
      <c r="F46" s="26">
        <v>45831</v>
      </c>
      <c r="G46" s="27" t="s">
        <v>330</v>
      </c>
      <c r="I46"/>
      <c r="J46"/>
    </row>
    <row r="47" spans="1:10" ht="15.75" customHeight="1" x14ac:dyDescent="0.25">
      <c r="A47" s="25" t="s">
        <v>574</v>
      </c>
      <c r="B47" s="141">
        <v>27.803333333333331</v>
      </c>
      <c r="C47" s="18" t="s">
        <v>8</v>
      </c>
      <c r="D47" s="18" t="s">
        <v>14</v>
      </c>
      <c r="E47" s="25" t="s">
        <v>12</v>
      </c>
      <c r="F47" s="26">
        <v>45831</v>
      </c>
      <c r="G47" s="27" t="s">
        <v>328</v>
      </c>
      <c r="I47"/>
      <c r="J47"/>
    </row>
    <row r="48" spans="1:10" ht="15.75" customHeight="1" x14ac:dyDescent="0.25">
      <c r="A48" s="25" t="s">
        <v>585</v>
      </c>
      <c r="B48" s="141">
        <v>55.875</v>
      </c>
      <c r="C48" s="18" t="s">
        <v>8</v>
      </c>
      <c r="D48" s="18" t="s">
        <v>22</v>
      </c>
      <c r="E48" s="25" t="s">
        <v>12</v>
      </c>
      <c r="F48" s="26">
        <v>45832</v>
      </c>
      <c r="G48" s="27" t="s">
        <v>330</v>
      </c>
      <c r="I48"/>
      <c r="J48"/>
    </row>
    <row r="49" spans="1:10" ht="15.75" customHeight="1" x14ac:dyDescent="0.25">
      <c r="A49" s="25" t="s">
        <v>544</v>
      </c>
      <c r="B49" s="141">
        <v>36.313333333333333</v>
      </c>
      <c r="C49" s="18" t="s">
        <v>8</v>
      </c>
      <c r="D49" s="18" t="s">
        <v>11</v>
      </c>
      <c r="E49" s="25" t="s">
        <v>12</v>
      </c>
      <c r="F49" s="26">
        <v>45832</v>
      </c>
      <c r="G49" s="27" t="s">
        <v>328</v>
      </c>
      <c r="I49"/>
      <c r="J49"/>
    </row>
    <row r="50" spans="1:10" ht="15.75" customHeight="1" x14ac:dyDescent="0.25">
      <c r="A50" s="25" t="s">
        <v>586</v>
      </c>
      <c r="B50" s="141">
        <v>68</v>
      </c>
      <c r="C50" s="18" t="s">
        <v>8</v>
      </c>
      <c r="D50" s="18" t="s">
        <v>22</v>
      </c>
      <c r="E50" s="25" t="s">
        <v>12</v>
      </c>
      <c r="F50" s="26">
        <v>45832</v>
      </c>
      <c r="G50" s="27" t="s">
        <v>328</v>
      </c>
      <c r="I50"/>
      <c r="J50"/>
    </row>
    <row r="51" spans="1:10" ht="15.75" customHeight="1" x14ac:dyDescent="0.25">
      <c r="A51" s="25" t="s">
        <v>591</v>
      </c>
      <c r="B51" s="141">
        <v>50</v>
      </c>
      <c r="C51" s="18" t="s">
        <v>8</v>
      </c>
      <c r="D51" s="18" t="s">
        <v>114</v>
      </c>
      <c r="E51" s="25" t="s">
        <v>12</v>
      </c>
      <c r="F51" s="26">
        <v>45834</v>
      </c>
      <c r="G51" s="27" t="s">
        <v>329</v>
      </c>
      <c r="I51"/>
      <c r="J51"/>
    </row>
    <row r="52" spans="1:10" ht="15.75" customHeight="1" x14ac:dyDescent="0.25">
      <c r="A52" s="25" t="s">
        <v>607</v>
      </c>
      <c r="B52" s="141">
        <v>30.66</v>
      </c>
      <c r="C52" s="18" t="s">
        <v>8</v>
      </c>
      <c r="D52" s="18" t="s">
        <v>114</v>
      </c>
      <c r="E52" s="25" t="s">
        <v>12</v>
      </c>
      <c r="F52" s="26">
        <v>45844</v>
      </c>
      <c r="G52" s="27" t="s">
        <v>301</v>
      </c>
      <c r="I52"/>
      <c r="J52"/>
    </row>
    <row r="53" spans="1:10" ht="15.75" customHeight="1" x14ac:dyDescent="0.25">
      <c r="A53" s="25" t="s">
        <v>614</v>
      </c>
      <c r="B53" s="141">
        <v>55.68</v>
      </c>
      <c r="C53" s="18" t="s">
        <v>8</v>
      </c>
      <c r="D53" s="18" t="s">
        <v>16</v>
      </c>
      <c r="E53" s="25" t="s">
        <v>17</v>
      </c>
      <c r="F53" s="26">
        <v>45841</v>
      </c>
      <c r="G53" s="27" t="s">
        <v>305</v>
      </c>
      <c r="I53"/>
      <c r="J53"/>
    </row>
    <row r="54" spans="1:10" ht="15.75" customHeight="1" x14ac:dyDescent="0.25">
      <c r="A54" s="25" t="s">
        <v>454</v>
      </c>
      <c r="B54" s="141">
        <v>40.630000000000003</v>
      </c>
      <c r="C54" s="18" t="s">
        <v>8</v>
      </c>
      <c r="D54" s="18" t="s">
        <v>22</v>
      </c>
      <c r="E54" s="25" t="s">
        <v>12</v>
      </c>
      <c r="F54" s="26">
        <v>45848</v>
      </c>
      <c r="G54" s="27" t="s">
        <v>305</v>
      </c>
      <c r="I54"/>
      <c r="J54"/>
    </row>
    <row r="55" spans="1:10" ht="15.75" customHeight="1" x14ac:dyDescent="0.25">
      <c r="A55" s="25" t="s">
        <v>620</v>
      </c>
      <c r="B55" s="141">
        <v>129.54666666666665</v>
      </c>
      <c r="C55" s="18" t="s">
        <v>8</v>
      </c>
      <c r="D55" s="18" t="s">
        <v>16</v>
      </c>
      <c r="E55" s="25" t="s">
        <v>12</v>
      </c>
      <c r="F55" s="26">
        <v>45849</v>
      </c>
      <c r="G55" s="27" t="s">
        <v>305</v>
      </c>
      <c r="I55"/>
      <c r="J55"/>
    </row>
    <row r="56" spans="1:10" ht="15.75" customHeight="1" x14ac:dyDescent="0.25">
      <c r="A56" s="25" t="s">
        <v>623</v>
      </c>
      <c r="B56" s="141">
        <v>89</v>
      </c>
      <c r="C56" s="18" t="s">
        <v>8</v>
      </c>
      <c r="D56" s="18" t="s">
        <v>20</v>
      </c>
      <c r="E56" s="25" t="s">
        <v>12</v>
      </c>
      <c r="F56" s="26">
        <v>45852</v>
      </c>
      <c r="G56" s="27" t="s">
        <v>296</v>
      </c>
      <c r="I56"/>
      <c r="J56"/>
    </row>
    <row r="57" spans="1:10" ht="15.75" customHeight="1" x14ac:dyDescent="0.25">
      <c r="A57" s="25" t="s">
        <v>624</v>
      </c>
      <c r="B57" s="141">
        <v>153.03</v>
      </c>
      <c r="C57" s="18" t="s">
        <v>8</v>
      </c>
      <c r="D57" s="18" t="s">
        <v>517</v>
      </c>
      <c r="E57" s="25" t="s">
        <v>17</v>
      </c>
      <c r="F57" s="26">
        <v>45852</v>
      </c>
      <c r="G57" s="27" t="s">
        <v>305</v>
      </c>
      <c r="I57"/>
      <c r="J57"/>
    </row>
    <row r="58" spans="1:10" ht="15.75" customHeight="1" x14ac:dyDescent="0.25">
      <c r="A58" s="25" t="s">
        <v>626</v>
      </c>
      <c r="B58" s="141">
        <v>136.0575</v>
      </c>
      <c r="C58" s="18" t="s">
        <v>8</v>
      </c>
      <c r="D58" s="18" t="s">
        <v>517</v>
      </c>
      <c r="E58" s="25" t="s">
        <v>17</v>
      </c>
      <c r="F58" s="26">
        <v>45853</v>
      </c>
      <c r="G58" s="27" t="s">
        <v>296</v>
      </c>
      <c r="I58"/>
      <c r="J58"/>
    </row>
    <row r="59" spans="1:10" ht="15.75" customHeight="1" x14ac:dyDescent="0.25">
      <c r="A59" s="25" t="s">
        <v>627</v>
      </c>
      <c r="B59" s="141">
        <v>32.497500000000002</v>
      </c>
      <c r="C59" s="18" t="s">
        <v>8</v>
      </c>
      <c r="D59" s="18" t="s">
        <v>22</v>
      </c>
      <c r="E59" s="25" t="s">
        <v>12</v>
      </c>
      <c r="F59" s="26">
        <v>45852</v>
      </c>
      <c r="G59" s="27" t="s">
        <v>301</v>
      </c>
      <c r="I59"/>
      <c r="J59"/>
    </row>
    <row r="60" spans="1:10" ht="15.75" customHeight="1" x14ac:dyDescent="0.25">
      <c r="A60" s="25" t="s">
        <v>631</v>
      </c>
      <c r="B60" s="141">
        <v>75.993333333333325</v>
      </c>
      <c r="C60" s="18" t="s">
        <v>8</v>
      </c>
      <c r="D60" s="18" t="s">
        <v>22</v>
      </c>
      <c r="E60" s="25" t="s">
        <v>12</v>
      </c>
      <c r="F60" s="26">
        <v>45854</v>
      </c>
      <c r="G60" s="27" t="s">
        <v>305</v>
      </c>
      <c r="I60"/>
      <c r="J60"/>
    </row>
    <row r="61" spans="1:10" ht="15.75" customHeight="1" x14ac:dyDescent="0.25">
      <c r="A61" s="25" t="s">
        <v>632</v>
      </c>
      <c r="B61" s="141">
        <v>81.563999999999993</v>
      </c>
      <c r="C61" s="18" t="s">
        <v>8</v>
      </c>
      <c r="D61" s="18" t="s">
        <v>11</v>
      </c>
      <c r="E61" s="25" t="s">
        <v>12</v>
      </c>
      <c r="F61" s="26">
        <v>45854</v>
      </c>
      <c r="G61" s="27" t="s">
        <v>493</v>
      </c>
      <c r="I61"/>
      <c r="J61"/>
    </row>
    <row r="62" spans="1:10" ht="15.75" customHeight="1" x14ac:dyDescent="0.25">
      <c r="A62" s="25" t="s">
        <v>633</v>
      </c>
      <c r="B62" s="141">
        <v>42.616666666666667</v>
      </c>
      <c r="C62" s="18" t="s">
        <v>8</v>
      </c>
      <c r="D62" s="18" t="s">
        <v>11</v>
      </c>
      <c r="E62" s="25" t="s">
        <v>12</v>
      </c>
      <c r="F62" s="26">
        <v>45854</v>
      </c>
      <c r="G62" s="27" t="s">
        <v>331</v>
      </c>
      <c r="I62"/>
      <c r="J62"/>
    </row>
    <row r="63" spans="1:10" ht="15.75" customHeight="1" x14ac:dyDescent="0.25">
      <c r="A63" s="25" t="s">
        <v>634</v>
      </c>
      <c r="B63" s="141">
        <v>30</v>
      </c>
      <c r="C63" s="18" t="s">
        <v>8</v>
      </c>
      <c r="D63" s="18" t="s">
        <v>11</v>
      </c>
      <c r="E63" s="25" t="s">
        <v>12</v>
      </c>
      <c r="F63" s="26">
        <v>45854</v>
      </c>
      <c r="G63" s="27" t="s">
        <v>493</v>
      </c>
      <c r="I63"/>
      <c r="J63"/>
    </row>
    <row r="64" spans="1:10" ht="15.75" customHeight="1" x14ac:dyDescent="0.25">
      <c r="A64" s="25" t="s">
        <v>637</v>
      </c>
      <c r="B64" s="143">
        <v>144.74666666666667</v>
      </c>
      <c r="C64" s="18" t="s">
        <v>8</v>
      </c>
      <c r="D64" s="18" t="s">
        <v>517</v>
      </c>
      <c r="E64" s="25" t="s">
        <v>12</v>
      </c>
      <c r="F64" s="26">
        <v>45855</v>
      </c>
      <c r="G64" s="27" t="s">
        <v>305</v>
      </c>
      <c r="I64"/>
      <c r="J64"/>
    </row>
    <row r="65" spans="1:10" ht="15.75" customHeight="1" x14ac:dyDescent="0.25">
      <c r="A65" s="25" t="s">
        <v>649</v>
      </c>
      <c r="B65" s="143">
        <v>411.48</v>
      </c>
      <c r="C65" s="18" t="s">
        <v>8</v>
      </c>
      <c r="D65" s="18" t="s">
        <v>118</v>
      </c>
      <c r="E65" s="25" t="s">
        <v>17</v>
      </c>
      <c r="F65" s="26">
        <v>45856</v>
      </c>
      <c r="G65" s="27" t="s">
        <v>296</v>
      </c>
      <c r="I65"/>
      <c r="J65"/>
    </row>
    <row r="66" spans="1:10" ht="15.75" customHeight="1" x14ac:dyDescent="0.25">
      <c r="A66" s="25" t="s">
        <v>652</v>
      </c>
      <c r="B66" s="148">
        <v>44.5</v>
      </c>
      <c r="C66" s="18" t="s">
        <v>8</v>
      </c>
      <c r="D66" s="18" t="s">
        <v>11</v>
      </c>
      <c r="E66" s="181" t="s">
        <v>12</v>
      </c>
      <c r="F66" s="26">
        <v>45859</v>
      </c>
      <c r="G66" s="27" t="s">
        <v>331</v>
      </c>
      <c r="I66"/>
      <c r="J66"/>
    </row>
    <row r="67" spans="1:10" ht="15.75" customHeight="1" x14ac:dyDescent="0.25">
      <c r="A67" s="25" t="s">
        <v>371</v>
      </c>
      <c r="B67" s="148">
        <v>86.46</v>
      </c>
      <c r="C67" s="18" t="s">
        <v>8</v>
      </c>
      <c r="D67" s="150" t="s">
        <v>14</v>
      </c>
      <c r="E67" s="181" t="s">
        <v>12</v>
      </c>
      <c r="F67" s="26">
        <v>45862</v>
      </c>
      <c r="G67" s="27" t="s">
        <v>305</v>
      </c>
      <c r="I67"/>
      <c r="J67"/>
    </row>
    <row r="68" spans="1:10" ht="15.75" customHeight="1" x14ac:dyDescent="0.25">
      <c r="A68" s="25" t="s">
        <v>653</v>
      </c>
      <c r="B68" s="148">
        <v>61.666666666666664</v>
      </c>
      <c r="C68" s="18" t="s">
        <v>8</v>
      </c>
      <c r="D68" s="150" t="s">
        <v>16</v>
      </c>
      <c r="E68" s="181" t="s">
        <v>12</v>
      </c>
      <c r="F68" s="26">
        <v>45863</v>
      </c>
      <c r="G68" s="27" t="s">
        <v>305</v>
      </c>
      <c r="I68"/>
      <c r="J68"/>
    </row>
    <row r="69" spans="1:10" ht="15.75" customHeight="1" x14ac:dyDescent="0.25">
      <c r="A69" s="25" t="s">
        <v>654</v>
      </c>
      <c r="B69" s="148">
        <v>52.050000000000004</v>
      </c>
      <c r="C69" s="18" t="s">
        <v>8</v>
      </c>
      <c r="D69" s="150" t="s">
        <v>70</v>
      </c>
      <c r="E69" s="181" t="s">
        <v>12</v>
      </c>
      <c r="F69" s="26">
        <v>45864</v>
      </c>
      <c r="G69" s="27" t="s">
        <v>331</v>
      </c>
      <c r="I69"/>
      <c r="J69"/>
    </row>
    <row r="70" spans="1:10" ht="15.75" customHeight="1" x14ac:dyDescent="0.25">
      <c r="A70" s="25" t="s">
        <v>656</v>
      </c>
      <c r="B70" s="148">
        <v>157.25</v>
      </c>
      <c r="C70" s="18" t="s">
        <v>8</v>
      </c>
      <c r="D70" s="150" t="s">
        <v>70</v>
      </c>
      <c r="E70" s="181" t="s">
        <v>12</v>
      </c>
      <c r="F70" s="26">
        <v>45864</v>
      </c>
      <c r="G70" s="27" t="s">
        <v>421</v>
      </c>
      <c r="I70"/>
      <c r="J70"/>
    </row>
    <row r="71" spans="1:10" ht="15.75" customHeight="1" x14ac:dyDescent="0.25">
      <c r="A71" s="25" t="s">
        <v>662</v>
      </c>
      <c r="B71" s="148">
        <v>61.43</v>
      </c>
      <c r="C71" s="18" t="s">
        <v>8</v>
      </c>
      <c r="D71" s="150" t="s">
        <v>70</v>
      </c>
      <c r="E71" s="181" t="s">
        <v>17</v>
      </c>
      <c r="F71" s="26">
        <v>45864</v>
      </c>
      <c r="G71" s="27" t="s">
        <v>331</v>
      </c>
      <c r="I71"/>
      <c r="J71"/>
    </row>
    <row r="72" spans="1:10" ht="15.75" customHeight="1" x14ac:dyDescent="0.25">
      <c r="A72" s="25" t="s">
        <v>742</v>
      </c>
      <c r="B72" s="151">
        <v>99.399999999999991</v>
      </c>
      <c r="C72" s="18" t="s">
        <v>8</v>
      </c>
      <c r="D72" s="18" t="s">
        <v>14</v>
      </c>
      <c r="E72" s="25" t="s">
        <v>12</v>
      </c>
      <c r="F72" s="26">
        <v>45866</v>
      </c>
      <c r="G72" s="27" t="s">
        <v>305</v>
      </c>
      <c r="I72"/>
      <c r="J72"/>
    </row>
    <row r="73" spans="1:10" ht="15.75" customHeight="1" x14ac:dyDescent="0.25">
      <c r="C73" s="18"/>
      <c r="D73" s="18"/>
      <c r="I73"/>
      <c r="J73"/>
    </row>
    <row r="74" spans="1:10" ht="15.75" customHeight="1" x14ac:dyDescent="0.25">
      <c r="C74" s="18"/>
      <c r="D74" s="18"/>
      <c r="I74"/>
      <c r="J74"/>
    </row>
    <row r="75" spans="1:10" ht="15.75" customHeight="1" x14ac:dyDescent="0.25">
      <c r="C75" s="18"/>
      <c r="D75" s="18"/>
      <c r="I75"/>
      <c r="J75"/>
    </row>
    <row r="76" spans="1:10" ht="15.75" customHeight="1" x14ac:dyDescent="0.25">
      <c r="C76" s="18"/>
      <c r="D76" s="18"/>
      <c r="I76"/>
      <c r="J76"/>
    </row>
    <row r="77" spans="1:10" ht="15.75" customHeight="1" x14ac:dyDescent="0.25">
      <c r="C77" s="18"/>
      <c r="D77" s="18"/>
      <c r="I77"/>
      <c r="J77"/>
    </row>
    <row r="78" spans="1:10" ht="15.75" customHeight="1" x14ac:dyDescent="0.25">
      <c r="C78" s="18"/>
      <c r="D78" s="18"/>
      <c r="I78"/>
      <c r="J78"/>
    </row>
    <row r="79" spans="1:10" ht="15.75" customHeight="1" x14ac:dyDescent="0.25">
      <c r="C79" s="18"/>
      <c r="D79" s="18"/>
      <c r="I79"/>
      <c r="J79"/>
    </row>
    <row r="80" spans="1:10" ht="15.75" customHeight="1" x14ac:dyDescent="0.25">
      <c r="C80" s="18"/>
      <c r="D80" s="18"/>
      <c r="I80"/>
      <c r="J80"/>
    </row>
    <row r="81" spans="3:9" ht="15.75" customHeight="1" x14ac:dyDescent="0.25">
      <c r="C81" s="18"/>
      <c r="D81" s="18"/>
      <c r="I81"/>
    </row>
    <row r="82" spans="3:9" ht="15.75" customHeight="1" x14ac:dyDescent="0.25">
      <c r="C82" s="18"/>
      <c r="D82" s="18"/>
      <c r="I82"/>
    </row>
    <row r="83" spans="3:9" ht="15.75" customHeight="1" x14ac:dyDescent="0.25">
      <c r="C83" s="18"/>
      <c r="D83" s="18"/>
      <c r="I83"/>
    </row>
    <row r="84" spans="3:9" ht="15.75" customHeight="1" x14ac:dyDescent="0.25">
      <c r="C84" s="18"/>
      <c r="D84" s="18"/>
      <c r="I84"/>
    </row>
    <row r="85" spans="3:9" ht="15.75" customHeight="1" x14ac:dyDescent="0.25">
      <c r="C85" s="18"/>
      <c r="D85" s="18"/>
      <c r="I85"/>
    </row>
    <row r="86" spans="3:9" ht="15.75" customHeight="1" x14ac:dyDescent="0.25">
      <c r="C86" s="18"/>
      <c r="D86" s="18"/>
      <c r="I86"/>
    </row>
    <row r="87" spans="3:9" ht="15.75" customHeight="1" x14ac:dyDescent="0.25">
      <c r="C87" s="18"/>
      <c r="D87" s="18"/>
      <c r="I87"/>
    </row>
    <row r="88" spans="3:9" ht="15.75" customHeight="1" x14ac:dyDescent="0.25">
      <c r="C88" s="18"/>
      <c r="D88" s="18"/>
      <c r="I88"/>
    </row>
    <row r="89" spans="3:9" ht="15.75" customHeight="1" x14ac:dyDescent="0.25">
      <c r="C89" s="18"/>
      <c r="D89" s="18"/>
      <c r="I89"/>
    </row>
    <row r="90" spans="3:9" ht="15.75" customHeight="1" x14ac:dyDescent="0.25">
      <c r="C90" s="18"/>
      <c r="D90" s="18"/>
      <c r="I90"/>
    </row>
    <row r="91" spans="3:9" ht="15.75" customHeight="1" x14ac:dyDescent="0.25">
      <c r="C91" s="18"/>
      <c r="D91" s="18"/>
      <c r="I91"/>
    </row>
    <row r="92" spans="3:9" ht="15.75" customHeight="1" x14ac:dyDescent="0.25">
      <c r="C92" s="18"/>
      <c r="D92" s="18"/>
      <c r="I92"/>
    </row>
    <row r="93" spans="3:9" ht="15.75" customHeight="1" x14ac:dyDescent="0.25">
      <c r="C93" s="18"/>
      <c r="D93" s="18"/>
      <c r="I93"/>
    </row>
    <row r="94" spans="3:9" ht="15.75" customHeight="1" x14ac:dyDescent="0.25">
      <c r="C94" s="18"/>
      <c r="D94" s="18"/>
      <c r="I94"/>
    </row>
    <row r="95" spans="3:9" ht="15.75" customHeight="1" x14ac:dyDescent="0.25">
      <c r="C95" s="18"/>
      <c r="D95" s="18"/>
      <c r="I95"/>
    </row>
    <row r="96" spans="3:9" ht="15.75" customHeight="1" x14ac:dyDescent="0.25">
      <c r="C96" s="18"/>
      <c r="D96" s="18"/>
      <c r="I96"/>
    </row>
    <row r="97" spans="3:9" ht="15.75" customHeight="1" x14ac:dyDescent="0.25">
      <c r="C97" s="18"/>
      <c r="D97" s="18"/>
      <c r="I97"/>
    </row>
    <row r="98" spans="3:9" ht="15.75" customHeight="1" x14ac:dyDescent="0.25">
      <c r="C98" s="18"/>
      <c r="D98" s="18"/>
      <c r="I98"/>
    </row>
    <row r="99" spans="3:9" ht="15.75" customHeight="1" x14ac:dyDescent="0.25">
      <c r="C99" s="18"/>
      <c r="D99" s="18"/>
      <c r="I99"/>
    </row>
    <row r="100" spans="3:9" ht="15.75" customHeight="1" x14ac:dyDescent="0.25">
      <c r="C100" s="18"/>
      <c r="D100" s="18"/>
      <c r="I100"/>
    </row>
    <row r="101" spans="3:9" ht="15.75" customHeight="1" x14ac:dyDescent="0.25">
      <c r="C101" s="18"/>
      <c r="D101" s="18"/>
      <c r="I101"/>
    </row>
    <row r="102" spans="3:9" ht="15.75" customHeight="1" x14ac:dyDescent="0.25">
      <c r="C102" s="18"/>
      <c r="D102" s="18"/>
      <c r="I102"/>
    </row>
    <row r="103" spans="3:9" ht="15.75" customHeight="1" x14ac:dyDescent="0.25">
      <c r="C103" s="18"/>
      <c r="D103" s="18"/>
      <c r="I103"/>
    </row>
    <row r="104" spans="3:9" ht="15.75" customHeight="1" x14ac:dyDescent="0.25">
      <c r="C104" s="18"/>
      <c r="D104" s="18"/>
      <c r="I104"/>
    </row>
    <row r="105" spans="3:9" ht="15.75" customHeight="1" x14ac:dyDescent="0.25">
      <c r="C105" s="18"/>
      <c r="D105" s="18"/>
      <c r="I105"/>
    </row>
    <row r="106" spans="3:9" ht="15.75" customHeight="1" x14ac:dyDescent="0.25">
      <c r="C106" s="18"/>
      <c r="D106" s="18"/>
      <c r="I106"/>
    </row>
    <row r="107" spans="3:9" ht="15.75" customHeight="1" x14ac:dyDescent="0.25">
      <c r="C107" s="18"/>
      <c r="D107" s="18"/>
      <c r="I107"/>
    </row>
    <row r="108" spans="3:9" ht="15.75" customHeight="1" x14ac:dyDescent="0.25">
      <c r="C108" s="18"/>
      <c r="D108" s="18"/>
      <c r="I108"/>
    </row>
    <row r="109" spans="3:9" ht="15.75" customHeight="1" x14ac:dyDescent="0.25">
      <c r="C109" s="18"/>
      <c r="D109" s="18"/>
      <c r="I109"/>
    </row>
    <row r="110" spans="3:9" ht="15.75" customHeight="1" x14ac:dyDescent="0.25">
      <c r="C110" s="18"/>
      <c r="D110" s="18"/>
      <c r="I110"/>
    </row>
    <row r="111" spans="3:9" ht="15.75" customHeight="1" x14ac:dyDescent="0.25">
      <c r="C111" s="18"/>
      <c r="D111" s="18"/>
      <c r="I111"/>
    </row>
    <row r="112" spans="3:9" ht="15.75" customHeight="1" x14ac:dyDescent="0.25">
      <c r="C112" s="18"/>
      <c r="D112" s="18"/>
      <c r="I112"/>
    </row>
    <row r="113" spans="3:9" ht="15.75" customHeight="1" x14ac:dyDescent="0.25">
      <c r="C113" s="18"/>
      <c r="D113" s="18"/>
      <c r="I113"/>
    </row>
    <row r="114" spans="3:9" ht="15.75" customHeight="1" x14ac:dyDescent="0.25">
      <c r="C114" s="18"/>
      <c r="D114" s="18"/>
      <c r="I114"/>
    </row>
    <row r="115" spans="3:9" ht="15.75" customHeight="1" x14ac:dyDescent="0.25">
      <c r="C115" s="18"/>
      <c r="D115" s="18"/>
      <c r="I115"/>
    </row>
    <row r="116" spans="3:9" ht="15.75" customHeight="1" x14ac:dyDescent="0.25">
      <c r="C116" s="18"/>
      <c r="D116" s="18"/>
      <c r="I116"/>
    </row>
    <row r="117" spans="3:9" ht="15.75" customHeight="1" x14ac:dyDescent="0.25">
      <c r="C117" s="18"/>
      <c r="D117" s="18"/>
      <c r="I117"/>
    </row>
    <row r="118" spans="3:9" ht="15.75" customHeight="1" x14ac:dyDescent="0.25">
      <c r="C118" s="18"/>
      <c r="D118" s="18"/>
      <c r="I118"/>
    </row>
    <row r="119" spans="3:9" ht="15.75" customHeight="1" x14ac:dyDescent="0.25">
      <c r="C119" s="18"/>
      <c r="D119" s="18"/>
      <c r="I119"/>
    </row>
    <row r="120" spans="3:9" ht="15.75" customHeight="1" x14ac:dyDescent="0.25">
      <c r="C120" s="18"/>
      <c r="D120" s="18"/>
      <c r="I120"/>
    </row>
    <row r="121" spans="3:9" ht="15.75" customHeight="1" x14ac:dyDescent="0.25">
      <c r="C121" s="18"/>
      <c r="D121" s="18"/>
      <c r="I121"/>
    </row>
    <row r="122" spans="3:9" ht="15.75" customHeight="1" x14ac:dyDescent="0.25">
      <c r="C122" s="18"/>
      <c r="D122" s="18"/>
      <c r="I122"/>
    </row>
    <row r="123" spans="3:9" ht="15.75" customHeight="1" x14ac:dyDescent="0.25">
      <c r="C123" s="18"/>
      <c r="D123" s="18"/>
      <c r="I123"/>
    </row>
    <row r="124" spans="3:9" ht="15.75" customHeight="1" x14ac:dyDescent="0.25">
      <c r="C124" s="18"/>
      <c r="D124" s="18"/>
      <c r="I124"/>
    </row>
    <row r="125" spans="3:9" ht="15.75" customHeight="1" x14ac:dyDescent="0.25">
      <c r="C125" s="18"/>
      <c r="D125" s="18"/>
      <c r="I125"/>
    </row>
    <row r="126" spans="3:9" ht="15.75" customHeight="1" x14ac:dyDescent="0.25">
      <c r="C126" s="18"/>
      <c r="D126" s="18"/>
      <c r="I126"/>
    </row>
    <row r="127" spans="3:9" ht="15.75" customHeight="1" x14ac:dyDescent="0.25">
      <c r="C127" s="18"/>
      <c r="D127" s="18"/>
    </row>
    <row r="128" spans="3:9" ht="15.75" customHeight="1" x14ac:dyDescent="0.25">
      <c r="C128" s="18"/>
      <c r="D128" s="18"/>
    </row>
    <row r="129" spans="3:4" ht="15.75" customHeight="1" x14ac:dyDescent="0.25">
      <c r="C129" s="18"/>
      <c r="D129" s="18"/>
    </row>
    <row r="130" spans="3:4" ht="15.75" customHeight="1" x14ac:dyDescent="0.25">
      <c r="C130" s="18"/>
      <c r="D130" s="18"/>
    </row>
    <row r="131" spans="3:4" ht="15.75" customHeight="1" x14ac:dyDescent="0.25">
      <c r="C131" s="18"/>
      <c r="D131" s="18"/>
    </row>
    <row r="132" spans="3:4" ht="15.75" customHeight="1" x14ac:dyDescent="0.25">
      <c r="C132" s="18"/>
      <c r="D132" s="18"/>
    </row>
    <row r="133" spans="3:4" ht="15.75" customHeight="1" x14ac:dyDescent="0.25">
      <c r="C133" s="18"/>
      <c r="D133" s="18"/>
    </row>
    <row r="134" spans="3:4" ht="15.75" customHeight="1" x14ac:dyDescent="0.25">
      <c r="C134" s="18"/>
      <c r="D134" s="18"/>
    </row>
    <row r="135" spans="3:4" ht="15.75" customHeight="1" x14ac:dyDescent="0.25">
      <c r="C135" s="18"/>
      <c r="D135" s="18"/>
    </row>
    <row r="136" spans="3:4" ht="15.75" customHeight="1" x14ac:dyDescent="0.25">
      <c r="C136" s="18"/>
      <c r="D136" s="18"/>
    </row>
    <row r="137" spans="3:4" ht="15.75" customHeight="1" x14ac:dyDescent="0.25">
      <c r="C137" s="18"/>
      <c r="D137" s="18"/>
    </row>
    <row r="138" spans="3:4" ht="15.75" customHeight="1" x14ac:dyDescent="0.25">
      <c r="C138" s="18"/>
      <c r="D138" s="18"/>
    </row>
    <row r="139" spans="3:4" ht="15.75" customHeight="1" x14ac:dyDescent="0.25">
      <c r="C139" s="18"/>
      <c r="D139" s="18"/>
    </row>
    <row r="140" spans="3:4" ht="15.75" customHeight="1" x14ac:dyDescent="0.25">
      <c r="C140" s="18"/>
      <c r="D140" s="18"/>
    </row>
    <row r="141" spans="3:4" ht="15.75" customHeight="1" x14ac:dyDescent="0.25">
      <c r="C141" s="18"/>
      <c r="D141" s="18"/>
    </row>
    <row r="142" spans="3:4" ht="15.75" customHeight="1" x14ac:dyDescent="0.25">
      <c r="C142" s="18"/>
      <c r="D142" s="18"/>
    </row>
    <row r="143" spans="3:4" ht="15.75" customHeight="1" x14ac:dyDescent="0.25">
      <c r="C143" s="18"/>
      <c r="D143" s="18"/>
    </row>
    <row r="144" spans="3:4" ht="15.75" customHeight="1" x14ac:dyDescent="0.25">
      <c r="C144" s="18"/>
      <c r="D144" s="18"/>
    </row>
    <row r="145" spans="3:4" ht="15.75" customHeight="1" x14ac:dyDescent="0.25">
      <c r="C145" s="18"/>
      <c r="D145" s="18"/>
    </row>
    <row r="146" spans="3:4" ht="15.75" customHeight="1" x14ac:dyDescent="0.25">
      <c r="C146" s="18"/>
      <c r="D146" s="18"/>
    </row>
    <row r="147" spans="3:4" ht="15.75" customHeight="1" x14ac:dyDescent="0.25">
      <c r="C147" s="18"/>
      <c r="D147" s="18"/>
    </row>
    <row r="148" spans="3:4" ht="15.75" customHeight="1" x14ac:dyDescent="0.25">
      <c r="C148" s="18"/>
      <c r="D148" s="18"/>
    </row>
    <row r="149" spans="3:4" ht="15.75" customHeight="1" x14ac:dyDescent="0.25">
      <c r="C149" s="18"/>
      <c r="D149" s="18"/>
    </row>
    <row r="150" spans="3:4" ht="15.75" customHeight="1" x14ac:dyDescent="0.25">
      <c r="C150" s="18"/>
      <c r="D150" s="18"/>
    </row>
    <row r="151" spans="3:4" ht="15.75" customHeight="1" x14ac:dyDescent="0.25">
      <c r="C151" s="18"/>
      <c r="D151" s="18"/>
    </row>
    <row r="152" spans="3:4" ht="15.75" customHeight="1" x14ac:dyDescent="0.25">
      <c r="C152" s="18"/>
      <c r="D152" s="18"/>
    </row>
    <row r="153" spans="3:4" ht="15.75" customHeight="1" x14ac:dyDescent="0.25">
      <c r="C153" s="18"/>
      <c r="D153" s="18"/>
    </row>
    <row r="154" spans="3:4" ht="15.75" customHeight="1" x14ac:dyDescent="0.25">
      <c r="C154" s="18"/>
      <c r="D154" s="18"/>
    </row>
    <row r="155" spans="3:4" ht="15.75" customHeight="1" x14ac:dyDescent="0.25">
      <c r="C155" s="18"/>
      <c r="D155" s="18"/>
    </row>
    <row r="156" spans="3:4" ht="15.75" customHeight="1" x14ac:dyDescent="0.25">
      <c r="C156" s="18"/>
      <c r="D156" s="18"/>
    </row>
    <row r="157" spans="3:4" ht="15.75" customHeight="1" x14ac:dyDescent="0.25">
      <c r="C157" s="18"/>
      <c r="D157" s="18"/>
    </row>
    <row r="158" spans="3:4" ht="15.75" customHeight="1" x14ac:dyDescent="0.25">
      <c r="C158" s="18"/>
      <c r="D158" s="18"/>
    </row>
    <row r="159" spans="3:4" ht="15.75" customHeight="1" x14ac:dyDescent="0.25">
      <c r="C159" s="18"/>
      <c r="D159" s="18"/>
    </row>
    <row r="160" spans="3: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>
      <c r="C970" s="18"/>
      <c r="D970" s="18"/>
    </row>
    <row r="971" spans="3:4" ht="15.75" customHeight="1" x14ac:dyDescent="0.25">
      <c r="C971" s="18"/>
      <c r="D971" s="18"/>
    </row>
    <row r="972" spans="3:4" ht="15.75" customHeight="1" x14ac:dyDescent="0.25"/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B82F-8F9B-4195-8702-18804B9AAB72}">
  <sheetPr codeName="Sheet13"/>
  <dimension ref="A1:K994"/>
  <sheetViews>
    <sheetView workbookViewId="0">
      <selection activeCell="C19" sqref="C19"/>
    </sheetView>
  </sheetViews>
  <sheetFormatPr defaultColWidth="14.42578125" defaultRowHeight="15" customHeight="1" x14ac:dyDescent="0.25"/>
  <cols>
    <col min="1" max="1" width="28.85546875" style="25" bestFit="1" customWidth="1"/>
    <col min="2" max="2" width="9.7109375" style="25" customWidth="1"/>
    <col min="3" max="3" width="12.7109375" style="25" customWidth="1"/>
    <col min="4" max="4" width="16.5703125" style="25" customWidth="1"/>
    <col min="5" max="5" width="9.5703125" style="25" customWidth="1"/>
    <col min="6" max="6" width="14.28515625" style="25" customWidth="1"/>
    <col min="7" max="7" width="10.5703125" style="25" customWidth="1"/>
    <col min="8" max="8" width="8.7109375" style="25" customWidth="1"/>
    <col min="9" max="9" width="16.42578125" style="25" bestFit="1" customWidth="1"/>
    <col min="10" max="10" width="14.85546875" style="25" bestFit="1" customWidth="1"/>
    <col min="11" max="26" width="8.7109375" style="25" customWidth="1"/>
    <col min="27" max="16384" width="14.42578125" style="25"/>
  </cols>
  <sheetData>
    <row r="1" spans="1:11" x14ac:dyDescent="0.25">
      <c r="A1" s="184" t="s">
        <v>0</v>
      </c>
      <c r="B1" s="190">
        <f>SUMIF('10_2025'!$C$5:$C$59,"Expense",'10_2025'!$B$5:$B$59)-SUMIF('10_2025'!$C$5:$C$59,"Income",'10_2025'!$B$5:$B$59)</f>
        <v>-12580.109690476194</v>
      </c>
    </row>
    <row r="2" spans="1:11" ht="15" customHeight="1" x14ac:dyDescent="0.25">
      <c r="A2" s="186"/>
      <c r="B2" s="186"/>
    </row>
    <row r="3" spans="1:11" x14ac:dyDescent="0.25">
      <c r="F3" s="18">
        <v>12</v>
      </c>
    </row>
    <row r="4" spans="1:11" x14ac:dyDescent="0.25">
      <c r="A4" s="18" t="s">
        <v>1</v>
      </c>
      <c r="B4" s="2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  <c r="I4" s="11" t="s">
        <v>129</v>
      </c>
      <c r="J4" s="12" t="s">
        <v>131</v>
      </c>
      <c r="K4"/>
    </row>
    <row r="5" spans="1:11" x14ac:dyDescent="0.25">
      <c r="A5" s="18" t="s">
        <v>60</v>
      </c>
      <c r="B5" s="3">
        <v>272</v>
      </c>
      <c r="C5" s="18" t="s">
        <v>8</v>
      </c>
      <c r="D5" s="18" t="s">
        <v>61</v>
      </c>
      <c r="E5" s="8" t="s">
        <v>12</v>
      </c>
      <c r="F5" s="5" t="s">
        <v>217</v>
      </c>
      <c r="G5" s="27"/>
      <c r="I5" s="13" t="s">
        <v>70</v>
      </c>
      <c r="J5" s="14">
        <v>5000</v>
      </c>
      <c r="K5"/>
    </row>
    <row r="6" spans="1:11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 t="s">
        <v>217</v>
      </c>
      <c r="G6" s="27"/>
      <c r="I6" s="13" t="s">
        <v>20</v>
      </c>
      <c r="J6" s="14">
        <v>205.7</v>
      </c>
      <c r="K6"/>
    </row>
    <row r="7" spans="1:11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 t="s">
        <v>218</v>
      </c>
      <c r="G7" s="27"/>
      <c r="I7" s="13" t="s">
        <v>22</v>
      </c>
      <c r="J7" s="14">
        <v>2518.5210000000002</v>
      </c>
      <c r="K7"/>
    </row>
    <row r="8" spans="1:11" x14ac:dyDescent="0.25">
      <c r="A8" s="18" t="s">
        <v>67</v>
      </c>
      <c r="B8" s="3">
        <v>250</v>
      </c>
      <c r="C8" s="18" t="s">
        <v>8</v>
      </c>
      <c r="D8" s="18" t="s">
        <v>68</v>
      </c>
      <c r="E8" s="8" t="s">
        <v>12</v>
      </c>
      <c r="F8" s="5" t="s">
        <v>219</v>
      </c>
      <c r="G8" s="27"/>
      <c r="I8" s="13" t="s">
        <v>108</v>
      </c>
      <c r="J8" s="14">
        <v>346.14</v>
      </c>
      <c r="K8"/>
    </row>
    <row r="9" spans="1:11" x14ac:dyDescent="0.25">
      <c r="A9" s="126" t="s">
        <v>411</v>
      </c>
      <c r="B9" s="3">
        <v>113.75</v>
      </c>
      <c r="C9" s="126" t="s">
        <v>8</v>
      </c>
      <c r="D9" s="18" t="s">
        <v>68</v>
      </c>
      <c r="E9" s="8" t="s">
        <v>12</v>
      </c>
      <c r="F9" s="5">
        <v>45899</v>
      </c>
      <c r="G9" s="27"/>
      <c r="I9" s="13" t="s">
        <v>114</v>
      </c>
      <c r="J9" s="14">
        <v>997.48</v>
      </c>
      <c r="K9"/>
    </row>
    <row r="10" spans="1:11" x14ac:dyDescent="0.25">
      <c r="A10" s="18" t="s">
        <v>69</v>
      </c>
      <c r="B10" s="3">
        <v>5000</v>
      </c>
      <c r="C10" s="18" t="s">
        <v>8</v>
      </c>
      <c r="D10" s="18" t="s">
        <v>70</v>
      </c>
      <c r="E10" s="8" t="s">
        <v>12</v>
      </c>
      <c r="F10" s="5" t="s">
        <v>220</v>
      </c>
      <c r="G10" s="27"/>
      <c r="I10" s="13" t="s">
        <v>63</v>
      </c>
      <c r="J10" s="14">
        <v>560</v>
      </c>
      <c r="K10"/>
    </row>
    <row r="11" spans="1:11" x14ac:dyDescent="0.25">
      <c r="A11" s="18" t="s">
        <v>74</v>
      </c>
      <c r="B11" s="3">
        <v>5710.37</v>
      </c>
      <c r="C11" s="18" t="s">
        <v>72</v>
      </c>
      <c r="D11" s="18" t="s">
        <v>73</v>
      </c>
      <c r="E11" s="8" t="s">
        <v>12</v>
      </c>
      <c r="F11" s="5" t="s">
        <v>220</v>
      </c>
      <c r="G11" s="27"/>
      <c r="I11" s="13" t="s">
        <v>61</v>
      </c>
      <c r="J11" s="14">
        <v>636.53875000000005</v>
      </c>
      <c r="K11"/>
    </row>
    <row r="12" spans="1:11" x14ac:dyDescent="0.25">
      <c r="A12" s="18" t="s">
        <v>75</v>
      </c>
      <c r="B12" s="3">
        <v>60</v>
      </c>
      <c r="C12" s="18" t="s">
        <v>8</v>
      </c>
      <c r="D12" s="18" t="s">
        <v>63</v>
      </c>
      <c r="E12" s="8" t="s">
        <v>12</v>
      </c>
      <c r="F12" s="5" t="s">
        <v>221</v>
      </c>
      <c r="G12" s="27"/>
      <c r="I12" s="13" t="s">
        <v>16</v>
      </c>
      <c r="J12" s="14">
        <v>73.125</v>
      </c>
      <c r="K12"/>
    </row>
    <row r="13" spans="1:11" x14ac:dyDescent="0.25">
      <c r="A13" s="18" t="s">
        <v>76</v>
      </c>
      <c r="B13" s="3">
        <v>100</v>
      </c>
      <c r="C13" s="18" t="s">
        <v>8</v>
      </c>
      <c r="D13" s="18" t="s">
        <v>63</v>
      </c>
      <c r="E13" s="8" t="s">
        <v>12</v>
      </c>
      <c r="F13" s="5" t="s">
        <v>222</v>
      </c>
      <c r="G13" s="27"/>
      <c r="I13" s="13" t="s">
        <v>14</v>
      </c>
      <c r="J13" s="14">
        <v>81.37233333333333</v>
      </c>
      <c r="K13"/>
    </row>
    <row r="14" spans="1:11" x14ac:dyDescent="0.25">
      <c r="A14" s="18" t="s">
        <v>77</v>
      </c>
      <c r="B14" s="3">
        <v>49.9</v>
      </c>
      <c r="C14" s="18" t="s">
        <v>8</v>
      </c>
      <c r="D14" s="18" t="s">
        <v>20</v>
      </c>
      <c r="E14" s="8" t="s">
        <v>12</v>
      </c>
      <c r="F14" s="5" t="s">
        <v>222</v>
      </c>
      <c r="G14" s="27"/>
      <c r="I14" s="13" t="s">
        <v>73</v>
      </c>
      <c r="J14" s="14">
        <v>26110.37</v>
      </c>
      <c r="K14"/>
    </row>
    <row r="15" spans="1:11" x14ac:dyDescent="0.25">
      <c r="A15" s="18" t="s">
        <v>78</v>
      </c>
      <c r="B15" s="3">
        <v>16.899999999999999</v>
      </c>
      <c r="C15" s="18" t="s">
        <v>8</v>
      </c>
      <c r="D15" s="18" t="s">
        <v>20</v>
      </c>
      <c r="E15" s="8" t="s">
        <v>12</v>
      </c>
      <c r="F15" s="5" t="s">
        <v>223</v>
      </c>
      <c r="G15" s="27"/>
      <c r="I15" s="13" t="s">
        <v>68</v>
      </c>
      <c r="J15" s="14">
        <v>1434.45</v>
      </c>
      <c r="K15"/>
    </row>
    <row r="16" spans="1:11" x14ac:dyDescent="0.25">
      <c r="A16" s="18" t="s">
        <v>80</v>
      </c>
      <c r="B16" s="3">
        <v>857</v>
      </c>
      <c r="C16" s="18" t="s">
        <v>8</v>
      </c>
      <c r="D16" s="18" t="s">
        <v>68</v>
      </c>
      <c r="E16" s="8" t="s">
        <v>12</v>
      </c>
      <c r="F16" s="5" t="s">
        <v>224</v>
      </c>
      <c r="G16" s="27"/>
      <c r="I16" s="13" t="s">
        <v>11</v>
      </c>
      <c r="J16" s="14">
        <v>256.16739285714289</v>
      </c>
      <c r="K16"/>
    </row>
    <row r="17" spans="1:11" x14ac:dyDescent="0.25">
      <c r="A17" s="18" t="s">
        <v>81</v>
      </c>
      <c r="B17" s="3">
        <v>113.7</v>
      </c>
      <c r="C17" s="18" t="s">
        <v>8</v>
      </c>
      <c r="D17" s="18" t="s">
        <v>68</v>
      </c>
      <c r="E17" s="8" t="s">
        <v>12</v>
      </c>
      <c r="F17" s="5" t="s">
        <v>224</v>
      </c>
      <c r="G17" s="27"/>
      <c r="I17" s="13" t="s">
        <v>118</v>
      </c>
      <c r="J17" s="14">
        <v>411.48</v>
      </c>
      <c r="K17"/>
    </row>
    <row r="18" spans="1:11" x14ac:dyDescent="0.25">
      <c r="A18" s="18" t="s">
        <v>82</v>
      </c>
      <c r="B18" s="3">
        <v>100</v>
      </c>
      <c r="C18" s="18" t="s">
        <v>8</v>
      </c>
      <c r="D18" s="18" t="s">
        <v>68</v>
      </c>
      <c r="E18" s="8" t="s">
        <v>12</v>
      </c>
      <c r="F18" s="5" t="s">
        <v>224</v>
      </c>
      <c r="G18" s="27"/>
      <c r="I18" s="13" t="s">
        <v>517</v>
      </c>
      <c r="J18" s="14">
        <v>694.05583333333345</v>
      </c>
      <c r="K18"/>
    </row>
    <row r="19" spans="1:11" x14ac:dyDescent="0.25">
      <c r="A19" s="18" t="s">
        <v>83</v>
      </c>
      <c r="B19" s="3">
        <v>4400</v>
      </c>
      <c r="C19" s="18" t="s">
        <v>72</v>
      </c>
      <c r="D19" s="18" t="s">
        <v>73</v>
      </c>
      <c r="E19" s="8" t="s">
        <v>12</v>
      </c>
      <c r="F19" s="5" t="s">
        <v>224</v>
      </c>
      <c r="G19" s="27"/>
      <c r="I19" s="15" t="s">
        <v>130</v>
      </c>
      <c r="J19" s="16">
        <v>39325.400309523808</v>
      </c>
      <c r="K19"/>
    </row>
    <row r="20" spans="1:11" ht="15.75" customHeight="1" x14ac:dyDescent="0.25">
      <c r="A20" s="126" t="s">
        <v>601</v>
      </c>
      <c r="B20" s="3">
        <v>16000</v>
      </c>
      <c r="C20" s="18" t="s">
        <v>72</v>
      </c>
      <c r="D20" s="18" t="s">
        <v>73</v>
      </c>
      <c r="E20" s="8" t="s">
        <v>17</v>
      </c>
      <c r="F20" s="5" t="s">
        <v>224</v>
      </c>
      <c r="G20" s="27"/>
      <c r="I20"/>
      <c r="J20"/>
      <c r="K20"/>
    </row>
    <row r="21" spans="1:11" ht="15.75" customHeight="1" x14ac:dyDescent="0.25">
      <c r="A21" s="144" t="s">
        <v>636</v>
      </c>
      <c r="B21" s="3">
        <v>800</v>
      </c>
      <c r="C21" s="18" t="s">
        <v>8</v>
      </c>
      <c r="D21" s="144" t="s">
        <v>114</v>
      </c>
      <c r="E21" s="8" t="s">
        <v>12</v>
      </c>
      <c r="F21" s="5">
        <v>45868</v>
      </c>
      <c r="G21" s="27"/>
      <c r="I21"/>
      <c r="J21"/>
      <c r="K21"/>
    </row>
    <row r="22" spans="1:11" ht="15.75" customHeight="1" x14ac:dyDescent="0.25">
      <c r="A22" s="126" t="s">
        <v>533</v>
      </c>
      <c r="B22" s="3">
        <v>2000</v>
      </c>
      <c r="C22" s="18" t="s">
        <v>8</v>
      </c>
      <c r="D22" s="126" t="s">
        <v>22</v>
      </c>
      <c r="E22" s="8" t="s">
        <v>17</v>
      </c>
      <c r="F22" s="5">
        <v>45868</v>
      </c>
      <c r="G22" s="27"/>
      <c r="I22"/>
      <c r="J22"/>
    </row>
    <row r="23" spans="1:11" ht="15.75" customHeight="1" x14ac:dyDescent="0.25">
      <c r="A23" s="29" t="s">
        <v>315</v>
      </c>
      <c r="B23" s="3">
        <f>877.5/12</f>
        <v>73.125</v>
      </c>
      <c r="C23" s="2" t="s">
        <v>8</v>
      </c>
      <c r="D23" s="2" t="s">
        <v>16</v>
      </c>
      <c r="E23" s="8" t="s">
        <v>12</v>
      </c>
      <c r="F23" s="5">
        <v>45629</v>
      </c>
      <c r="G23" s="31" t="s">
        <v>323</v>
      </c>
      <c r="I23"/>
      <c r="J23"/>
    </row>
    <row r="24" spans="1:11" ht="15.75" customHeight="1" x14ac:dyDescent="0.25">
      <c r="A24" s="30" t="s">
        <v>316</v>
      </c>
      <c r="B24" s="28">
        <v>346.14</v>
      </c>
      <c r="C24" s="2" t="s">
        <v>8</v>
      </c>
      <c r="D24" s="18" t="s">
        <v>108</v>
      </c>
      <c r="E24" s="18" t="s">
        <v>12</v>
      </c>
      <c r="F24" s="5">
        <v>45657</v>
      </c>
      <c r="G24" s="31" t="s">
        <v>324</v>
      </c>
      <c r="I24"/>
      <c r="J24"/>
    </row>
    <row r="25" spans="1:11" ht="15.75" customHeight="1" x14ac:dyDescent="0.25">
      <c r="A25" s="30" t="s">
        <v>318</v>
      </c>
      <c r="B25" s="3">
        <v>68.8</v>
      </c>
      <c r="C25" s="18" t="s">
        <v>8</v>
      </c>
      <c r="D25" s="18" t="s">
        <v>22</v>
      </c>
      <c r="E25" s="8" t="s">
        <v>12</v>
      </c>
      <c r="F25" s="5">
        <v>45668</v>
      </c>
      <c r="G25" s="31" t="s">
        <v>320</v>
      </c>
      <c r="I25"/>
      <c r="J25"/>
    </row>
    <row r="26" spans="1:11" ht="15.75" customHeight="1" x14ac:dyDescent="0.25">
      <c r="A26" s="29" t="s">
        <v>319</v>
      </c>
      <c r="B26" s="3">
        <f>598.8/12</f>
        <v>49.9</v>
      </c>
      <c r="C26" s="2" t="s">
        <v>8</v>
      </c>
      <c r="D26" s="2" t="s">
        <v>20</v>
      </c>
      <c r="E26" s="2" t="s">
        <v>12</v>
      </c>
      <c r="F26" s="5">
        <v>45681</v>
      </c>
      <c r="G26" s="31" t="s">
        <v>320</v>
      </c>
      <c r="I26"/>
      <c r="J26"/>
    </row>
    <row r="27" spans="1:11" ht="15.75" customHeight="1" x14ac:dyDescent="0.25">
      <c r="A27" s="25" t="s">
        <v>282</v>
      </c>
      <c r="B27" s="138">
        <v>39.134999999999998</v>
      </c>
      <c r="C27" s="18" t="s">
        <v>8</v>
      </c>
      <c r="D27" s="18" t="s">
        <v>22</v>
      </c>
      <c r="E27" s="25" t="s">
        <v>12</v>
      </c>
      <c r="F27" s="26">
        <v>45718</v>
      </c>
      <c r="G27" s="31" t="s">
        <v>311</v>
      </c>
      <c r="I27"/>
      <c r="J27"/>
    </row>
    <row r="28" spans="1:11" ht="15.75" customHeight="1" x14ac:dyDescent="0.25">
      <c r="A28" s="25" t="s">
        <v>391</v>
      </c>
      <c r="B28" s="138">
        <v>36.907499999999999</v>
      </c>
      <c r="C28" s="18" t="s">
        <v>8</v>
      </c>
      <c r="D28" s="18" t="s">
        <v>22</v>
      </c>
      <c r="E28" s="25" t="s">
        <v>17</v>
      </c>
      <c r="F28" s="26">
        <v>45734</v>
      </c>
      <c r="G28" s="27" t="s">
        <v>314</v>
      </c>
      <c r="I28"/>
      <c r="J28"/>
    </row>
    <row r="29" spans="1:11" ht="15.75" customHeight="1" x14ac:dyDescent="0.25">
      <c r="A29" s="25" t="s">
        <v>392</v>
      </c>
      <c r="B29" s="138">
        <v>133.25</v>
      </c>
      <c r="C29" s="18" t="s">
        <v>8</v>
      </c>
      <c r="D29" s="18" t="s">
        <v>22</v>
      </c>
      <c r="E29" s="25" t="s">
        <v>17</v>
      </c>
      <c r="F29" s="26">
        <v>45734</v>
      </c>
      <c r="G29" s="27" t="s">
        <v>314</v>
      </c>
      <c r="I29"/>
      <c r="J29"/>
    </row>
    <row r="30" spans="1:11" ht="15.75" customHeight="1" x14ac:dyDescent="0.25">
      <c r="A30" s="25" t="s">
        <v>418</v>
      </c>
      <c r="B30" s="138">
        <v>52.28875</v>
      </c>
      <c r="C30" s="18" t="s">
        <v>8</v>
      </c>
      <c r="D30" s="18" t="s">
        <v>61</v>
      </c>
      <c r="E30" s="25" t="s">
        <v>12</v>
      </c>
      <c r="F30" s="26">
        <v>45753</v>
      </c>
      <c r="G30" s="27" t="s">
        <v>357</v>
      </c>
      <c r="I30"/>
      <c r="J30"/>
    </row>
    <row r="31" spans="1:11" ht="15.75" customHeight="1" x14ac:dyDescent="0.25">
      <c r="A31" s="25" t="s">
        <v>456</v>
      </c>
      <c r="B31" s="138">
        <v>52.06</v>
      </c>
      <c r="C31" s="18" t="s">
        <v>8</v>
      </c>
      <c r="D31" s="18" t="s">
        <v>22</v>
      </c>
      <c r="E31" s="25" t="s">
        <v>12</v>
      </c>
      <c r="F31" s="26">
        <v>45780</v>
      </c>
      <c r="G31" s="27" t="s">
        <v>355</v>
      </c>
      <c r="I31"/>
      <c r="J31"/>
    </row>
    <row r="32" spans="1:11" ht="15.75" customHeight="1" x14ac:dyDescent="0.25">
      <c r="A32" s="25" t="s">
        <v>457</v>
      </c>
      <c r="B32" s="138">
        <v>39.699999999999996</v>
      </c>
      <c r="C32" s="18" t="s">
        <v>8</v>
      </c>
      <c r="D32" s="18" t="s">
        <v>114</v>
      </c>
      <c r="E32" s="25" t="s">
        <v>12</v>
      </c>
      <c r="F32" s="26">
        <v>45780</v>
      </c>
      <c r="G32" s="27" t="s">
        <v>353</v>
      </c>
      <c r="I32"/>
      <c r="J32"/>
    </row>
    <row r="33" spans="1:10" ht="15.75" customHeight="1" x14ac:dyDescent="0.25">
      <c r="A33" s="25" t="s">
        <v>490</v>
      </c>
      <c r="B33" s="138">
        <v>53.569000000000003</v>
      </c>
      <c r="C33" s="18" t="s">
        <v>8</v>
      </c>
      <c r="D33" s="18" t="s">
        <v>14</v>
      </c>
      <c r="E33" s="25" t="s">
        <v>12</v>
      </c>
      <c r="F33" s="26">
        <v>45799</v>
      </c>
      <c r="G33" s="27" t="s">
        <v>354</v>
      </c>
      <c r="I33"/>
      <c r="J33"/>
    </row>
    <row r="34" spans="1:10" ht="15.75" customHeight="1" x14ac:dyDescent="0.25">
      <c r="A34" s="25" t="s">
        <v>514</v>
      </c>
      <c r="B34" s="138">
        <v>31.995999999999999</v>
      </c>
      <c r="C34" s="18" t="s">
        <v>8</v>
      </c>
      <c r="D34" s="18" t="s">
        <v>22</v>
      </c>
      <c r="E34" s="25" t="s">
        <v>12</v>
      </c>
      <c r="F34" s="26">
        <v>45811</v>
      </c>
      <c r="G34" s="27" t="s">
        <v>310</v>
      </c>
      <c r="I34"/>
      <c r="J34"/>
    </row>
    <row r="35" spans="1:10" ht="15.75" customHeight="1" x14ac:dyDescent="0.25">
      <c r="A35" s="25" t="s">
        <v>518</v>
      </c>
      <c r="B35" s="138">
        <v>133.64000000000001</v>
      </c>
      <c r="C35" s="18" t="s">
        <v>8</v>
      </c>
      <c r="D35" s="18" t="s">
        <v>517</v>
      </c>
      <c r="E35" s="25" t="s">
        <v>17</v>
      </c>
      <c r="F35" s="26">
        <v>45798</v>
      </c>
      <c r="G35" s="27" t="s">
        <v>524</v>
      </c>
      <c r="I35"/>
      <c r="J35"/>
    </row>
    <row r="36" spans="1:10" ht="15.75" customHeight="1" x14ac:dyDescent="0.25">
      <c r="A36" s="25" t="s">
        <v>527</v>
      </c>
      <c r="B36" s="138">
        <v>133.64000000000001</v>
      </c>
      <c r="C36" s="18" t="s">
        <v>8</v>
      </c>
      <c r="D36" s="18" t="s">
        <v>517</v>
      </c>
      <c r="E36" s="25" t="s">
        <v>17</v>
      </c>
      <c r="F36" s="26">
        <v>45810</v>
      </c>
      <c r="G36" s="27" t="s">
        <v>523</v>
      </c>
      <c r="I36"/>
      <c r="J36"/>
    </row>
    <row r="37" spans="1:10" ht="15.75" customHeight="1" x14ac:dyDescent="0.25">
      <c r="A37" s="25" t="s">
        <v>544</v>
      </c>
      <c r="B37" s="138">
        <v>77.12</v>
      </c>
      <c r="C37" s="18" t="s">
        <v>8</v>
      </c>
      <c r="D37" s="18" t="s">
        <v>114</v>
      </c>
      <c r="E37" s="25" t="s">
        <v>12</v>
      </c>
      <c r="F37" s="26">
        <v>45816</v>
      </c>
      <c r="G37" s="27" t="s">
        <v>335</v>
      </c>
      <c r="I37"/>
      <c r="J37"/>
    </row>
    <row r="38" spans="1:10" ht="15.75" customHeight="1" x14ac:dyDescent="0.25">
      <c r="A38" s="25" t="s">
        <v>554</v>
      </c>
      <c r="B38" s="138">
        <v>138.91499999999999</v>
      </c>
      <c r="C38" s="18" t="s">
        <v>8</v>
      </c>
      <c r="D38" s="18" t="s">
        <v>517</v>
      </c>
      <c r="E38" s="25" t="s">
        <v>17</v>
      </c>
      <c r="F38" s="26">
        <v>45823</v>
      </c>
      <c r="G38" s="27" t="s">
        <v>334</v>
      </c>
      <c r="I38"/>
      <c r="J38"/>
    </row>
    <row r="39" spans="1:10" ht="15.75" customHeight="1" x14ac:dyDescent="0.25">
      <c r="A39" s="25" t="s">
        <v>555</v>
      </c>
      <c r="B39" s="138">
        <v>151.80333333333334</v>
      </c>
      <c r="C39" s="18" t="s">
        <v>8</v>
      </c>
      <c r="D39" s="18" t="s">
        <v>517</v>
      </c>
      <c r="E39" s="25" t="s">
        <v>17</v>
      </c>
      <c r="F39" s="26">
        <v>45823</v>
      </c>
      <c r="G39" s="27" t="s">
        <v>334</v>
      </c>
      <c r="I39"/>
      <c r="J39"/>
    </row>
    <row r="40" spans="1:10" ht="15.75" customHeight="1" x14ac:dyDescent="0.25">
      <c r="A40" s="25" t="s">
        <v>564</v>
      </c>
      <c r="B40" s="138">
        <v>11.417142857142858</v>
      </c>
      <c r="C40" s="18" t="s">
        <v>8</v>
      </c>
      <c r="D40" s="18" t="s">
        <v>11</v>
      </c>
      <c r="E40" s="25" t="s">
        <v>12</v>
      </c>
      <c r="F40" s="26">
        <v>45824</v>
      </c>
      <c r="G40" s="27" t="s">
        <v>523</v>
      </c>
      <c r="I40"/>
      <c r="J40"/>
    </row>
    <row r="41" spans="1:10" ht="15.75" customHeight="1" x14ac:dyDescent="0.25">
      <c r="A41" s="25" t="s">
        <v>572</v>
      </c>
      <c r="B41" s="138">
        <v>22.349999999999998</v>
      </c>
      <c r="C41" s="18" t="s">
        <v>8</v>
      </c>
      <c r="D41" s="18" t="s">
        <v>61</v>
      </c>
      <c r="E41" s="25" t="s">
        <v>12</v>
      </c>
      <c r="F41" s="26">
        <v>45831</v>
      </c>
      <c r="G41" s="27" t="s">
        <v>298</v>
      </c>
      <c r="I41"/>
      <c r="J41"/>
    </row>
    <row r="42" spans="1:10" ht="15.75" customHeight="1" x14ac:dyDescent="0.25">
      <c r="A42" s="25" t="s">
        <v>573</v>
      </c>
      <c r="B42" s="138">
        <v>54.256250000000001</v>
      </c>
      <c r="C42" s="18" t="s">
        <v>8</v>
      </c>
      <c r="D42" s="18" t="s">
        <v>11</v>
      </c>
      <c r="E42" s="25" t="s">
        <v>12</v>
      </c>
      <c r="F42" s="26">
        <v>45831</v>
      </c>
      <c r="G42" s="27" t="s">
        <v>336</v>
      </c>
      <c r="I42"/>
      <c r="J42"/>
    </row>
    <row r="43" spans="1:10" ht="15.75" customHeight="1" x14ac:dyDescent="0.25">
      <c r="A43" s="25" t="s">
        <v>574</v>
      </c>
      <c r="B43" s="138">
        <v>27.803333333333331</v>
      </c>
      <c r="C43" s="18" t="s">
        <v>8</v>
      </c>
      <c r="D43" s="18" t="s">
        <v>14</v>
      </c>
      <c r="E43" s="25" t="s">
        <v>12</v>
      </c>
      <c r="F43" s="26">
        <v>45831</v>
      </c>
      <c r="G43" s="27" t="s">
        <v>334</v>
      </c>
      <c r="I43"/>
      <c r="J43"/>
    </row>
    <row r="44" spans="1:10" ht="15.75" customHeight="1" x14ac:dyDescent="0.25">
      <c r="A44" s="25" t="s">
        <v>585</v>
      </c>
      <c r="B44" s="138">
        <v>55.875</v>
      </c>
      <c r="C44" s="18" t="s">
        <v>8</v>
      </c>
      <c r="D44" s="18" t="s">
        <v>22</v>
      </c>
      <c r="E44" s="25" t="s">
        <v>12</v>
      </c>
      <c r="F44" s="26">
        <v>45832</v>
      </c>
      <c r="G44" s="27" t="s">
        <v>336</v>
      </c>
      <c r="I44"/>
      <c r="J44"/>
    </row>
    <row r="45" spans="1:10" ht="15.75" customHeight="1" x14ac:dyDescent="0.25">
      <c r="A45" s="25" t="s">
        <v>544</v>
      </c>
      <c r="B45" s="138">
        <v>36.313333333333333</v>
      </c>
      <c r="C45" s="18" t="s">
        <v>8</v>
      </c>
      <c r="D45" s="18" t="s">
        <v>11</v>
      </c>
      <c r="E45" s="25" t="s">
        <v>12</v>
      </c>
      <c r="F45" s="26">
        <v>45832</v>
      </c>
      <c r="G45" s="27" t="s">
        <v>334</v>
      </c>
      <c r="I45"/>
      <c r="J45"/>
    </row>
    <row r="46" spans="1:10" ht="15.75" customHeight="1" x14ac:dyDescent="0.25">
      <c r="A46" s="25" t="s">
        <v>586</v>
      </c>
      <c r="B46" s="138">
        <v>68</v>
      </c>
      <c r="C46" s="18" t="s">
        <v>8</v>
      </c>
      <c r="D46" s="18" t="s">
        <v>22</v>
      </c>
      <c r="E46" s="25" t="s">
        <v>12</v>
      </c>
      <c r="F46" s="26">
        <v>45832</v>
      </c>
      <c r="G46" s="27" t="s">
        <v>334</v>
      </c>
      <c r="I46"/>
      <c r="J46"/>
    </row>
    <row r="47" spans="1:10" ht="15.75" customHeight="1" x14ac:dyDescent="0.25">
      <c r="A47" s="25" t="s">
        <v>591</v>
      </c>
      <c r="B47" s="138">
        <v>50</v>
      </c>
      <c r="C47" s="18" t="s">
        <v>8</v>
      </c>
      <c r="D47" s="18" t="s">
        <v>114</v>
      </c>
      <c r="E47" s="25" t="s">
        <v>12</v>
      </c>
      <c r="F47" s="26">
        <v>45834</v>
      </c>
      <c r="G47" s="27" t="s">
        <v>335</v>
      </c>
      <c r="I47"/>
      <c r="J47"/>
    </row>
    <row r="48" spans="1:10" ht="15.75" customHeight="1" x14ac:dyDescent="0.25">
      <c r="A48" s="25" t="s">
        <v>607</v>
      </c>
      <c r="B48" s="138">
        <v>30.66</v>
      </c>
      <c r="C48" s="18" t="s">
        <v>8</v>
      </c>
      <c r="D48" s="18" t="s">
        <v>114</v>
      </c>
      <c r="E48" s="25" t="s">
        <v>12</v>
      </c>
      <c r="F48" s="26">
        <v>45844</v>
      </c>
      <c r="G48" s="27" t="s">
        <v>302</v>
      </c>
      <c r="I48"/>
      <c r="J48"/>
    </row>
    <row r="49" spans="1:10" ht="15.75" customHeight="1" x14ac:dyDescent="0.25">
      <c r="A49" s="25" t="s">
        <v>623</v>
      </c>
      <c r="B49" s="138">
        <v>89</v>
      </c>
      <c r="C49" s="18" t="s">
        <v>8</v>
      </c>
      <c r="D49" s="18" t="s">
        <v>20</v>
      </c>
      <c r="E49" s="25" t="s">
        <v>12</v>
      </c>
      <c r="F49" s="26">
        <v>45852</v>
      </c>
      <c r="G49" s="27" t="s">
        <v>297</v>
      </c>
      <c r="I49"/>
      <c r="J49"/>
    </row>
    <row r="50" spans="1:10" ht="15.75" customHeight="1" x14ac:dyDescent="0.25">
      <c r="A50" s="25" t="s">
        <v>626</v>
      </c>
      <c r="B50" s="138">
        <v>136.0575</v>
      </c>
      <c r="C50" s="18" t="s">
        <v>8</v>
      </c>
      <c r="D50" s="18" t="s">
        <v>517</v>
      </c>
      <c r="E50" s="25" t="s">
        <v>17</v>
      </c>
      <c r="F50" s="26">
        <v>45853</v>
      </c>
      <c r="G50" s="27" t="s">
        <v>297</v>
      </c>
      <c r="I50"/>
      <c r="J50"/>
    </row>
    <row r="51" spans="1:10" ht="15.75" customHeight="1" x14ac:dyDescent="0.25">
      <c r="A51" s="25" t="s">
        <v>627</v>
      </c>
      <c r="B51" s="138">
        <v>32.497500000000002</v>
      </c>
      <c r="C51" s="18" t="s">
        <v>8</v>
      </c>
      <c r="D51" s="18" t="s">
        <v>22</v>
      </c>
      <c r="E51" s="25" t="s">
        <v>12</v>
      </c>
      <c r="F51" s="26">
        <v>45852</v>
      </c>
      <c r="G51" s="27" t="s">
        <v>302</v>
      </c>
      <c r="I51"/>
      <c r="J51"/>
    </row>
    <row r="52" spans="1:10" ht="15.75" customHeight="1" x14ac:dyDescent="0.25">
      <c r="A52" s="25" t="s">
        <v>632</v>
      </c>
      <c r="B52" s="138">
        <v>81.563999999999993</v>
      </c>
      <c r="C52" s="18" t="s">
        <v>8</v>
      </c>
      <c r="D52" s="18" t="s">
        <v>11</v>
      </c>
      <c r="E52" s="25" t="s">
        <v>12</v>
      </c>
      <c r="F52" s="26">
        <v>45854</v>
      </c>
      <c r="G52" s="27" t="s">
        <v>329</v>
      </c>
      <c r="I52"/>
      <c r="J52"/>
    </row>
    <row r="53" spans="1:10" ht="15.75" customHeight="1" x14ac:dyDescent="0.25">
      <c r="A53" s="25" t="s">
        <v>633</v>
      </c>
      <c r="B53" s="138">
        <v>42.616666666666667</v>
      </c>
      <c r="C53" s="18" t="s">
        <v>8</v>
      </c>
      <c r="D53" s="18" t="s">
        <v>11</v>
      </c>
      <c r="E53" s="25" t="s">
        <v>12</v>
      </c>
      <c r="F53" s="26">
        <v>45854</v>
      </c>
      <c r="G53" s="27" t="s">
        <v>328</v>
      </c>
      <c r="I53"/>
      <c r="J53"/>
    </row>
    <row r="54" spans="1:10" ht="15.75" customHeight="1" x14ac:dyDescent="0.25">
      <c r="A54" s="25" t="s">
        <v>634</v>
      </c>
      <c r="B54" s="139">
        <v>30</v>
      </c>
      <c r="C54" s="18" t="s">
        <v>8</v>
      </c>
      <c r="D54" s="18" t="s">
        <v>11</v>
      </c>
      <c r="E54" s="25" t="s">
        <v>12</v>
      </c>
      <c r="F54" s="26">
        <v>45854</v>
      </c>
      <c r="G54" s="27" t="s">
        <v>329</v>
      </c>
      <c r="I54"/>
      <c r="J54"/>
    </row>
    <row r="55" spans="1:10" ht="15.75" customHeight="1" x14ac:dyDescent="0.25">
      <c r="A55" s="25" t="s">
        <v>649</v>
      </c>
      <c r="B55" s="143">
        <v>411.48</v>
      </c>
      <c r="C55" s="18" t="s">
        <v>8</v>
      </c>
      <c r="D55" s="18" t="s">
        <v>118</v>
      </c>
      <c r="E55" s="25" t="s">
        <v>17</v>
      </c>
      <c r="F55" s="26">
        <v>45856</v>
      </c>
      <c r="G55" s="27" t="s">
        <v>297</v>
      </c>
      <c r="I55"/>
      <c r="J55"/>
    </row>
    <row r="56" spans="1:10" ht="15.75" customHeight="1" x14ac:dyDescent="0.25">
      <c r="A56" s="25" t="s">
        <v>652</v>
      </c>
      <c r="B56" s="148">
        <v>44.5</v>
      </c>
      <c r="C56" s="18" t="s">
        <v>8</v>
      </c>
      <c r="D56" s="18" t="s">
        <v>11</v>
      </c>
      <c r="E56" s="181" t="s">
        <v>12</v>
      </c>
      <c r="F56" s="26">
        <v>45859</v>
      </c>
      <c r="G56" s="27" t="s">
        <v>328</v>
      </c>
      <c r="I56"/>
      <c r="J56"/>
    </row>
    <row r="57" spans="1:10" ht="15.75" customHeight="1" x14ac:dyDescent="0.25">
      <c r="A57" s="25" t="s">
        <v>654</v>
      </c>
      <c r="B57" s="148">
        <v>52.050000000000004</v>
      </c>
      <c r="C57" s="18" t="s">
        <v>8</v>
      </c>
      <c r="D57" s="150" t="s">
        <v>14</v>
      </c>
      <c r="E57" s="181" t="s">
        <v>12</v>
      </c>
      <c r="F57" s="26">
        <v>45864</v>
      </c>
      <c r="G57" s="27" t="s">
        <v>328</v>
      </c>
      <c r="I57"/>
      <c r="J57"/>
    </row>
    <row r="58" spans="1:10" ht="15.75" customHeight="1" x14ac:dyDescent="0.25">
      <c r="A58" s="25" t="s">
        <v>656</v>
      </c>
      <c r="B58" s="148">
        <v>157.25</v>
      </c>
      <c r="C58" s="18" t="s">
        <v>8</v>
      </c>
      <c r="D58" s="150" t="s">
        <v>16</v>
      </c>
      <c r="E58" s="181" t="s">
        <v>12</v>
      </c>
      <c r="F58" s="26">
        <v>45864</v>
      </c>
      <c r="G58" s="27" t="s">
        <v>330</v>
      </c>
      <c r="I58"/>
      <c r="J58"/>
    </row>
    <row r="59" spans="1:10" ht="15.75" customHeight="1" x14ac:dyDescent="0.25">
      <c r="A59" s="25" t="s">
        <v>662</v>
      </c>
      <c r="B59" s="148">
        <v>61.43</v>
      </c>
      <c r="C59" s="18" t="s">
        <v>8</v>
      </c>
      <c r="D59" s="150" t="s">
        <v>70</v>
      </c>
      <c r="E59" s="181" t="s">
        <v>12</v>
      </c>
      <c r="F59" s="26">
        <v>45864</v>
      </c>
      <c r="G59" s="27" t="s">
        <v>328</v>
      </c>
      <c r="I59"/>
      <c r="J59"/>
    </row>
    <row r="60" spans="1:10" ht="15.75" customHeight="1" x14ac:dyDescent="0.25">
      <c r="C60" s="18"/>
      <c r="D60" s="18"/>
      <c r="I60"/>
      <c r="J60"/>
    </row>
    <row r="61" spans="1:10" ht="15.75" customHeight="1" x14ac:dyDescent="0.25">
      <c r="C61" s="18"/>
      <c r="D61" s="18"/>
      <c r="I61"/>
      <c r="J61"/>
    </row>
    <row r="62" spans="1:10" ht="15.75" customHeight="1" x14ac:dyDescent="0.25">
      <c r="C62" s="18"/>
      <c r="D62" s="18"/>
      <c r="I62"/>
      <c r="J62"/>
    </row>
    <row r="63" spans="1:10" ht="15.75" customHeight="1" x14ac:dyDescent="0.25">
      <c r="C63" s="18"/>
      <c r="D63" s="18"/>
      <c r="I63"/>
      <c r="J63"/>
    </row>
    <row r="64" spans="1:10" ht="15.75" customHeight="1" x14ac:dyDescent="0.25">
      <c r="C64" s="18"/>
      <c r="D64" s="18"/>
      <c r="I64"/>
      <c r="J64"/>
    </row>
    <row r="65" spans="3:10" ht="15.75" customHeight="1" x14ac:dyDescent="0.25">
      <c r="C65" s="18"/>
      <c r="D65" s="18"/>
      <c r="I65"/>
      <c r="J65"/>
    </row>
    <row r="66" spans="3:10" ht="15.75" customHeight="1" x14ac:dyDescent="0.25">
      <c r="C66" s="18"/>
      <c r="D66" s="18"/>
      <c r="I66"/>
      <c r="J66"/>
    </row>
    <row r="67" spans="3:10" ht="15.75" customHeight="1" x14ac:dyDescent="0.25">
      <c r="C67" s="18"/>
      <c r="D67" s="18"/>
      <c r="I67"/>
      <c r="J67"/>
    </row>
    <row r="68" spans="3:10" ht="15.75" customHeight="1" x14ac:dyDescent="0.25">
      <c r="C68" s="18"/>
      <c r="D68" s="18"/>
      <c r="I68"/>
      <c r="J68"/>
    </row>
    <row r="69" spans="3:10" ht="15.75" customHeight="1" x14ac:dyDescent="0.25">
      <c r="C69" s="18"/>
      <c r="D69" s="18"/>
      <c r="I69"/>
      <c r="J69"/>
    </row>
    <row r="70" spans="3:10" ht="15.75" customHeight="1" x14ac:dyDescent="0.25">
      <c r="C70" s="18"/>
      <c r="D70" s="18"/>
      <c r="I70"/>
      <c r="J70"/>
    </row>
    <row r="71" spans="3:10" ht="15.75" customHeight="1" x14ac:dyDescent="0.25">
      <c r="C71" s="18"/>
      <c r="D71" s="18"/>
      <c r="I71"/>
      <c r="J71"/>
    </row>
    <row r="72" spans="3:10" ht="15.75" customHeight="1" x14ac:dyDescent="0.25">
      <c r="C72" s="18"/>
      <c r="D72" s="18"/>
      <c r="I72"/>
      <c r="J72"/>
    </row>
    <row r="73" spans="3:10" ht="15.75" customHeight="1" x14ac:dyDescent="0.25">
      <c r="C73" s="18"/>
      <c r="D73" s="18"/>
      <c r="I73"/>
      <c r="J73"/>
    </row>
    <row r="74" spans="3:10" ht="15.75" customHeight="1" x14ac:dyDescent="0.25">
      <c r="C74" s="18"/>
      <c r="D74" s="18"/>
      <c r="I74"/>
      <c r="J74"/>
    </row>
    <row r="75" spans="3:10" ht="15.75" customHeight="1" x14ac:dyDescent="0.25">
      <c r="C75" s="18"/>
      <c r="D75" s="18"/>
      <c r="I75"/>
      <c r="J75"/>
    </row>
    <row r="76" spans="3:10" ht="15.75" customHeight="1" x14ac:dyDescent="0.25">
      <c r="C76" s="18"/>
      <c r="D76" s="18"/>
      <c r="I76"/>
      <c r="J76"/>
    </row>
    <row r="77" spans="3:10" ht="15.75" customHeight="1" x14ac:dyDescent="0.25">
      <c r="C77" s="18"/>
      <c r="D77" s="18"/>
      <c r="I77"/>
      <c r="J77"/>
    </row>
    <row r="78" spans="3:10" ht="15.75" customHeight="1" x14ac:dyDescent="0.25">
      <c r="C78" s="18"/>
      <c r="D78" s="18"/>
      <c r="I78"/>
      <c r="J78"/>
    </row>
    <row r="79" spans="3:10" ht="15.75" customHeight="1" x14ac:dyDescent="0.25">
      <c r="C79" s="18"/>
      <c r="D79" s="18"/>
      <c r="I79"/>
      <c r="J79"/>
    </row>
    <row r="80" spans="3:10" ht="15.75" customHeight="1" x14ac:dyDescent="0.25">
      <c r="C80" s="18"/>
      <c r="D80" s="18"/>
      <c r="I80"/>
      <c r="J80"/>
    </row>
    <row r="81" spans="3:10" ht="15.75" customHeight="1" x14ac:dyDescent="0.25">
      <c r="C81" s="18"/>
      <c r="D81" s="18"/>
      <c r="I81"/>
      <c r="J81"/>
    </row>
    <row r="82" spans="3:10" ht="15.75" customHeight="1" x14ac:dyDescent="0.25">
      <c r="C82" s="18"/>
      <c r="D82" s="18"/>
      <c r="I82"/>
      <c r="J82"/>
    </row>
    <row r="83" spans="3:10" ht="15.75" customHeight="1" x14ac:dyDescent="0.25">
      <c r="C83" s="18"/>
      <c r="D83" s="18"/>
      <c r="I83"/>
      <c r="J83"/>
    </row>
    <row r="84" spans="3:10" ht="15.75" customHeight="1" x14ac:dyDescent="0.25">
      <c r="C84" s="18"/>
      <c r="D84" s="18"/>
      <c r="I84"/>
      <c r="J84"/>
    </row>
    <row r="85" spans="3:10" ht="15.75" customHeight="1" x14ac:dyDescent="0.25">
      <c r="C85" s="18"/>
      <c r="D85" s="18"/>
      <c r="I85"/>
      <c r="J85"/>
    </row>
    <row r="86" spans="3:10" ht="15.75" customHeight="1" x14ac:dyDescent="0.25">
      <c r="C86" s="18"/>
      <c r="D86" s="18"/>
      <c r="I86"/>
      <c r="J86"/>
    </row>
    <row r="87" spans="3:10" ht="15.75" customHeight="1" x14ac:dyDescent="0.25">
      <c r="C87" s="18"/>
      <c r="D87" s="18"/>
      <c r="I87"/>
      <c r="J87"/>
    </row>
    <row r="88" spans="3:10" ht="15.75" customHeight="1" x14ac:dyDescent="0.25">
      <c r="C88" s="18"/>
      <c r="D88" s="18"/>
      <c r="I88"/>
      <c r="J88"/>
    </row>
    <row r="89" spans="3:10" ht="15.75" customHeight="1" x14ac:dyDescent="0.25">
      <c r="C89" s="18"/>
      <c r="D89" s="18"/>
      <c r="I89"/>
      <c r="J89"/>
    </row>
    <row r="90" spans="3:10" ht="15.75" customHeight="1" x14ac:dyDescent="0.25">
      <c r="C90" s="18"/>
      <c r="D90" s="18"/>
      <c r="I90"/>
      <c r="J90"/>
    </row>
    <row r="91" spans="3:10" ht="15.75" customHeight="1" x14ac:dyDescent="0.25">
      <c r="C91" s="18"/>
      <c r="D91" s="18"/>
      <c r="I91"/>
      <c r="J91"/>
    </row>
    <row r="92" spans="3:10" ht="15.75" customHeight="1" x14ac:dyDescent="0.25">
      <c r="C92" s="18"/>
      <c r="D92" s="18"/>
      <c r="I92"/>
      <c r="J92"/>
    </row>
    <row r="93" spans="3:10" ht="15.75" customHeight="1" x14ac:dyDescent="0.25">
      <c r="C93" s="18"/>
      <c r="D93" s="18"/>
      <c r="I93"/>
      <c r="J93"/>
    </row>
    <row r="94" spans="3:10" ht="15.75" customHeight="1" x14ac:dyDescent="0.25">
      <c r="C94" s="18"/>
      <c r="D94" s="18"/>
      <c r="I94"/>
      <c r="J94"/>
    </row>
    <row r="95" spans="3:10" ht="15.75" customHeight="1" x14ac:dyDescent="0.25">
      <c r="C95" s="18"/>
      <c r="D95" s="18"/>
      <c r="I95"/>
      <c r="J95"/>
    </row>
    <row r="96" spans="3:10" ht="15.75" customHeight="1" x14ac:dyDescent="0.25">
      <c r="C96" s="18"/>
      <c r="D96" s="18"/>
      <c r="I96"/>
      <c r="J96"/>
    </row>
    <row r="97" spans="3:10" ht="15.75" customHeight="1" x14ac:dyDescent="0.25">
      <c r="C97" s="18"/>
      <c r="D97" s="18"/>
      <c r="I97"/>
      <c r="J97"/>
    </row>
    <row r="98" spans="3:10" ht="15.75" customHeight="1" x14ac:dyDescent="0.25">
      <c r="C98" s="18"/>
      <c r="D98" s="18"/>
      <c r="I98"/>
      <c r="J98"/>
    </row>
    <row r="99" spans="3:10" ht="15.75" customHeight="1" x14ac:dyDescent="0.25">
      <c r="C99" s="18"/>
      <c r="D99" s="18"/>
      <c r="I99"/>
      <c r="J99"/>
    </row>
    <row r="100" spans="3:10" ht="15.75" customHeight="1" x14ac:dyDescent="0.25">
      <c r="C100" s="18"/>
      <c r="D100" s="18"/>
      <c r="I100"/>
      <c r="J100"/>
    </row>
    <row r="101" spans="3:10" ht="15.75" customHeight="1" x14ac:dyDescent="0.25">
      <c r="C101" s="18"/>
      <c r="D101" s="18"/>
      <c r="I101"/>
      <c r="J101"/>
    </row>
    <row r="102" spans="3:10" ht="15.75" customHeight="1" x14ac:dyDescent="0.25">
      <c r="C102" s="18"/>
      <c r="D102" s="18"/>
      <c r="I102"/>
      <c r="J102"/>
    </row>
    <row r="103" spans="3:10" ht="15.75" customHeight="1" x14ac:dyDescent="0.25">
      <c r="C103" s="18"/>
      <c r="D103" s="18"/>
      <c r="I103"/>
      <c r="J103"/>
    </row>
    <row r="104" spans="3:10" ht="15.75" customHeight="1" x14ac:dyDescent="0.25">
      <c r="C104" s="18"/>
      <c r="D104" s="18"/>
      <c r="I104"/>
      <c r="J104"/>
    </row>
    <row r="105" spans="3:10" ht="15.75" customHeight="1" x14ac:dyDescent="0.25">
      <c r="C105" s="18"/>
      <c r="D105" s="18"/>
    </row>
    <row r="106" spans="3:10" ht="15.75" customHeight="1" x14ac:dyDescent="0.25">
      <c r="C106" s="18"/>
      <c r="D106" s="18"/>
    </row>
    <row r="107" spans="3:10" ht="15.75" customHeight="1" x14ac:dyDescent="0.25">
      <c r="C107" s="18"/>
      <c r="D107" s="18"/>
    </row>
    <row r="108" spans="3:10" ht="15.75" customHeight="1" x14ac:dyDescent="0.25">
      <c r="C108" s="18"/>
      <c r="D108" s="18"/>
    </row>
    <row r="109" spans="3:10" ht="15.75" customHeight="1" x14ac:dyDescent="0.25">
      <c r="C109" s="18"/>
      <c r="D109" s="18"/>
    </row>
    <row r="110" spans="3:10" ht="15.75" customHeight="1" x14ac:dyDescent="0.25">
      <c r="C110" s="18"/>
      <c r="D110" s="18"/>
    </row>
    <row r="111" spans="3:10" ht="15.75" customHeight="1" x14ac:dyDescent="0.25">
      <c r="C111" s="18"/>
      <c r="D111" s="18"/>
    </row>
    <row r="112" spans="3:10" ht="15.75" customHeight="1" x14ac:dyDescent="0.25">
      <c r="C112" s="18"/>
      <c r="D112" s="18"/>
    </row>
    <row r="113" spans="3:4" ht="15.75" customHeight="1" x14ac:dyDescent="0.25">
      <c r="C113" s="18"/>
      <c r="D113" s="18"/>
    </row>
    <row r="114" spans="3:4" ht="15.75" customHeight="1" x14ac:dyDescent="0.25">
      <c r="C114" s="18"/>
      <c r="D114" s="18"/>
    </row>
    <row r="115" spans="3:4" ht="15.75" customHeight="1" x14ac:dyDescent="0.25">
      <c r="C115" s="18"/>
      <c r="D115" s="18"/>
    </row>
    <row r="116" spans="3:4" ht="15.75" customHeight="1" x14ac:dyDescent="0.25">
      <c r="C116" s="18"/>
      <c r="D116" s="18"/>
    </row>
    <row r="117" spans="3:4" ht="15.75" customHeight="1" x14ac:dyDescent="0.25">
      <c r="C117" s="18"/>
      <c r="D117" s="18"/>
    </row>
    <row r="118" spans="3:4" ht="15.75" customHeight="1" x14ac:dyDescent="0.25">
      <c r="C118" s="18"/>
      <c r="D118" s="18"/>
    </row>
    <row r="119" spans="3:4" ht="15.75" customHeight="1" x14ac:dyDescent="0.25">
      <c r="C119" s="18"/>
      <c r="D119" s="18"/>
    </row>
    <row r="120" spans="3:4" ht="15.75" customHeight="1" x14ac:dyDescent="0.25">
      <c r="C120" s="18"/>
      <c r="D120" s="18"/>
    </row>
    <row r="121" spans="3:4" ht="15.75" customHeight="1" x14ac:dyDescent="0.25">
      <c r="C121" s="18"/>
      <c r="D121" s="18"/>
    </row>
    <row r="122" spans="3:4" ht="15.75" customHeight="1" x14ac:dyDescent="0.25">
      <c r="C122" s="18"/>
      <c r="D122" s="18"/>
    </row>
    <row r="123" spans="3:4" ht="15.75" customHeight="1" x14ac:dyDescent="0.25">
      <c r="C123" s="18"/>
      <c r="D123" s="18"/>
    </row>
    <row r="124" spans="3:4" ht="15.75" customHeight="1" x14ac:dyDescent="0.25">
      <c r="C124" s="18"/>
      <c r="D124" s="18"/>
    </row>
    <row r="125" spans="3:4" ht="15.75" customHeight="1" x14ac:dyDescent="0.25">
      <c r="C125" s="18"/>
      <c r="D125" s="18"/>
    </row>
    <row r="126" spans="3:4" ht="15.75" customHeight="1" x14ac:dyDescent="0.25">
      <c r="C126" s="18"/>
      <c r="D126" s="18"/>
    </row>
    <row r="127" spans="3:4" ht="15.75" customHeight="1" x14ac:dyDescent="0.25">
      <c r="C127" s="18"/>
      <c r="D127" s="18"/>
    </row>
    <row r="128" spans="3:4" ht="15.75" customHeight="1" x14ac:dyDescent="0.25">
      <c r="C128" s="18"/>
      <c r="D128" s="18"/>
    </row>
    <row r="129" spans="3:4" ht="15.75" customHeight="1" x14ac:dyDescent="0.25">
      <c r="C129" s="18"/>
      <c r="D129" s="18"/>
    </row>
    <row r="130" spans="3:4" ht="15.75" customHeight="1" x14ac:dyDescent="0.25">
      <c r="C130" s="18"/>
      <c r="D130" s="18"/>
    </row>
    <row r="131" spans="3:4" ht="15.75" customHeight="1" x14ac:dyDescent="0.25">
      <c r="C131" s="18"/>
      <c r="D131" s="18"/>
    </row>
    <row r="132" spans="3:4" ht="15.75" customHeight="1" x14ac:dyDescent="0.25">
      <c r="C132" s="18"/>
      <c r="D132" s="18"/>
    </row>
    <row r="133" spans="3:4" ht="15.75" customHeight="1" x14ac:dyDescent="0.25">
      <c r="C133" s="18"/>
      <c r="D133" s="18"/>
    </row>
    <row r="134" spans="3:4" ht="15.75" customHeight="1" x14ac:dyDescent="0.25">
      <c r="C134" s="18"/>
      <c r="D134" s="18"/>
    </row>
    <row r="135" spans="3:4" ht="15.75" customHeight="1" x14ac:dyDescent="0.25">
      <c r="C135" s="18"/>
      <c r="D135" s="18"/>
    </row>
    <row r="136" spans="3:4" ht="15.75" customHeight="1" x14ac:dyDescent="0.25">
      <c r="C136" s="18"/>
      <c r="D136" s="18"/>
    </row>
    <row r="137" spans="3:4" ht="15.75" customHeight="1" x14ac:dyDescent="0.25">
      <c r="C137" s="18"/>
      <c r="D137" s="18"/>
    </row>
    <row r="138" spans="3:4" ht="15.75" customHeight="1" x14ac:dyDescent="0.25">
      <c r="C138" s="18"/>
      <c r="D138" s="18"/>
    </row>
    <row r="139" spans="3:4" ht="15.75" customHeight="1" x14ac:dyDescent="0.25">
      <c r="C139" s="18"/>
      <c r="D139" s="18"/>
    </row>
    <row r="140" spans="3:4" ht="15.75" customHeight="1" x14ac:dyDescent="0.25">
      <c r="C140" s="18"/>
      <c r="D140" s="18"/>
    </row>
    <row r="141" spans="3:4" ht="15.75" customHeight="1" x14ac:dyDescent="0.25">
      <c r="C141" s="18"/>
      <c r="D141" s="18"/>
    </row>
    <row r="142" spans="3:4" ht="15.75" customHeight="1" x14ac:dyDescent="0.25">
      <c r="C142" s="18"/>
      <c r="D142" s="18"/>
    </row>
    <row r="143" spans="3:4" ht="15.75" customHeight="1" x14ac:dyDescent="0.25">
      <c r="C143" s="18"/>
      <c r="D143" s="18"/>
    </row>
    <row r="144" spans="3:4" ht="15.75" customHeight="1" x14ac:dyDescent="0.25">
      <c r="C144" s="18"/>
      <c r="D144" s="18"/>
    </row>
    <row r="145" spans="3:4" ht="15.75" customHeight="1" x14ac:dyDescent="0.25">
      <c r="C145" s="18"/>
      <c r="D145" s="18"/>
    </row>
    <row r="146" spans="3:4" ht="15.75" customHeight="1" x14ac:dyDescent="0.25">
      <c r="C146" s="18"/>
      <c r="D146" s="18"/>
    </row>
    <row r="147" spans="3:4" ht="15.75" customHeight="1" x14ac:dyDescent="0.25">
      <c r="C147" s="18"/>
      <c r="D147" s="18"/>
    </row>
    <row r="148" spans="3:4" ht="15.75" customHeight="1" x14ac:dyDescent="0.25">
      <c r="C148" s="18"/>
      <c r="D148" s="18"/>
    </row>
    <row r="149" spans="3:4" ht="15.75" customHeight="1" x14ac:dyDescent="0.25">
      <c r="C149" s="18"/>
      <c r="D149" s="18"/>
    </row>
    <row r="150" spans="3:4" ht="15.75" customHeight="1" x14ac:dyDescent="0.25">
      <c r="C150" s="18"/>
      <c r="D150" s="18"/>
    </row>
    <row r="151" spans="3:4" ht="15.75" customHeight="1" x14ac:dyDescent="0.25">
      <c r="C151" s="18"/>
      <c r="D151" s="18"/>
    </row>
    <row r="152" spans="3:4" ht="15.75" customHeight="1" x14ac:dyDescent="0.25">
      <c r="C152" s="18"/>
      <c r="D152" s="18"/>
    </row>
    <row r="153" spans="3:4" ht="15.75" customHeight="1" x14ac:dyDescent="0.25">
      <c r="C153" s="18"/>
      <c r="D153" s="18"/>
    </row>
    <row r="154" spans="3:4" ht="15.75" customHeight="1" x14ac:dyDescent="0.25">
      <c r="C154" s="18"/>
      <c r="D154" s="18"/>
    </row>
    <row r="155" spans="3:4" ht="15.75" customHeight="1" x14ac:dyDescent="0.25">
      <c r="C155" s="18"/>
      <c r="D155" s="18"/>
    </row>
    <row r="156" spans="3:4" ht="15.75" customHeight="1" x14ac:dyDescent="0.25">
      <c r="C156" s="18"/>
      <c r="D156" s="18"/>
    </row>
    <row r="157" spans="3:4" ht="15.75" customHeight="1" x14ac:dyDescent="0.25">
      <c r="C157" s="18"/>
      <c r="D157" s="18"/>
    </row>
    <row r="158" spans="3:4" ht="15.75" customHeight="1" x14ac:dyDescent="0.25">
      <c r="C158" s="18"/>
      <c r="D158" s="18"/>
    </row>
    <row r="159" spans="3:4" ht="15.75" customHeight="1" x14ac:dyDescent="0.25">
      <c r="C159" s="18"/>
      <c r="D159" s="18"/>
    </row>
    <row r="160" spans="3: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/>
    <row r="970" spans="3:4" ht="15.75" customHeight="1" x14ac:dyDescent="0.25"/>
    <row r="971" spans="3:4" ht="15.75" customHeight="1" x14ac:dyDescent="0.25"/>
    <row r="972" spans="3:4" ht="15.75" customHeight="1" x14ac:dyDescent="0.25"/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9385-68DA-466A-A545-0A0D9373FDE1}">
  <sheetPr codeName="Sheet14"/>
  <dimension ref="A1:K996"/>
  <sheetViews>
    <sheetView workbookViewId="0">
      <selection activeCell="D51" sqref="D51:F54"/>
    </sheetView>
  </sheetViews>
  <sheetFormatPr defaultColWidth="14.42578125" defaultRowHeight="15" customHeight="1" x14ac:dyDescent="0.25"/>
  <cols>
    <col min="1" max="1" width="28.85546875" style="25" bestFit="1" customWidth="1"/>
    <col min="2" max="2" width="9.7109375" style="25" customWidth="1"/>
    <col min="3" max="3" width="12.7109375" style="25" customWidth="1"/>
    <col min="4" max="4" width="16.5703125" style="25" customWidth="1"/>
    <col min="5" max="5" width="9.5703125" style="25" customWidth="1"/>
    <col min="6" max="6" width="14.28515625" style="25" customWidth="1"/>
    <col min="7" max="7" width="10.5703125" style="25" customWidth="1"/>
    <col min="8" max="8" width="8.7109375" style="25" customWidth="1"/>
    <col min="9" max="9" width="16.42578125" style="25" bestFit="1" customWidth="1"/>
    <col min="10" max="10" width="14.85546875" style="25" bestFit="1" customWidth="1"/>
    <col min="11" max="26" width="8.7109375" style="25" customWidth="1"/>
    <col min="27" max="16384" width="14.42578125" style="25"/>
  </cols>
  <sheetData>
    <row r="1" spans="1:11" x14ac:dyDescent="0.25">
      <c r="A1" s="184" t="s">
        <v>0</v>
      </c>
      <c r="B1" s="190">
        <f>SUMIF('11_2025'!$C$5:$C$54,"Expense",'11_2025'!$B$5:$B$54)-SUMIF('11_2025'!$C$5:$C$54,"Income",'11_2025'!$B$5:$B$54)</f>
        <v>-13061.103190476193</v>
      </c>
    </row>
    <row r="2" spans="1:11" ht="15" customHeight="1" x14ac:dyDescent="0.25">
      <c r="A2" s="186"/>
      <c r="B2" s="186"/>
    </row>
    <row r="3" spans="1:11" x14ac:dyDescent="0.25">
      <c r="F3" s="18">
        <v>12</v>
      </c>
    </row>
    <row r="4" spans="1:11" x14ac:dyDescent="0.25">
      <c r="A4" s="18" t="s">
        <v>1</v>
      </c>
      <c r="B4" s="1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  <c r="I4" s="11" t="s">
        <v>129</v>
      </c>
      <c r="J4" s="12" t="s">
        <v>131</v>
      </c>
      <c r="K4"/>
    </row>
    <row r="5" spans="1:11" x14ac:dyDescent="0.25">
      <c r="A5" s="18" t="s">
        <v>60</v>
      </c>
      <c r="B5" s="3">
        <v>272</v>
      </c>
      <c r="C5" s="18" t="s">
        <v>8</v>
      </c>
      <c r="D5" s="18" t="s">
        <v>61</v>
      </c>
      <c r="E5" s="8" t="s">
        <v>12</v>
      </c>
      <c r="F5" s="5" t="s">
        <v>217</v>
      </c>
      <c r="G5" s="27"/>
      <c r="I5" s="13" t="s">
        <v>70</v>
      </c>
      <c r="J5" s="14">
        <v>5000</v>
      </c>
      <c r="K5"/>
    </row>
    <row r="6" spans="1:11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 t="s">
        <v>217</v>
      </c>
      <c r="G6" s="27"/>
      <c r="I6" s="13" t="s">
        <v>20</v>
      </c>
      <c r="J6" s="14">
        <v>205.7</v>
      </c>
      <c r="K6"/>
    </row>
    <row r="7" spans="1:11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 t="s">
        <v>218</v>
      </c>
      <c r="G7" s="27"/>
      <c r="I7" s="13" t="s">
        <v>22</v>
      </c>
      <c r="J7" s="14">
        <v>2454.0275000000001</v>
      </c>
      <c r="K7"/>
    </row>
    <row r="8" spans="1:11" x14ac:dyDescent="0.25">
      <c r="A8" s="126" t="s">
        <v>411</v>
      </c>
      <c r="B8" s="3">
        <v>113.75</v>
      </c>
      <c r="C8" s="126" t="s">
        <v>8</v>
      </c>
      <c r="D8" s="18" t="s">
        <v>68</v>
      </c>
      <c r="E8" s="8" t="s">
        <v>12</v>
      </c>
      <c r="F8" s="5">
        <v>45899</v>
      </c>
      <c r="G8" s="27"/>
      <c r="I8" s="13" t="s">
        <v>114</v>
      </c>
      <c r="J8" s="14">
        <v>927.12</v>
      </c>
      <c r="K8"/>
    </row>
    <row r="9" spans="1:11" x14ac:dyDescent="0.25">
      <c r="A9" s="18" t="s">
        <v>67</v>
      </c>
      <c r="B9" s="3">
        <v>250</v>
      </c>
      <c r="C9" s="18" t="s">
        <v>8</v>
      </c>
      <c r="D9" s="18" t="s">
        <v>68</v>
      </c>
      <c r="E9" s="8" t="s">
        <v>12</v>
      </c>
      <c r="F9" s="5" t="s">
        <v>219</v>
      </c>
      <c r="G9" s="27"/>
      <c r="I9" s="13" t="s">
        <v>63</v>
      </c>
      <c r="J9" s="14">
        <v>560</v>
      </c>
      <c r="K9"/>
    </row>
    <row r="10" spans="1:11" x14ac:dyDescent="0.25">
      <c r="A10" s="18" t="s">
        <v>69</v>
      </c>
      <c r="B10" s="3">
        <v>5000</v>
      </c>
      <c r="C10" s="18" t="s">
        <v>8</v>
      </c>
      <c r="D10" s="18" t="s">
        <v>70</v>
      </c>
      <c r="E10" s="8" t="s">
        <v>12</v>
      </c>
      <c r="F10" s="5" t="s">
        <v>220</v>
      </c>
      <c r="G10" s="27"/>
      <c r="I10" s="13" t="s">
        <v>61</v>
      </c>
      <c r="J10" s="14">
        <v>636.53875000000005</v>
      </c>
      <c r="K10"/>
    </row>
    <row r="11" spans="1:11" x14ac:dyDescent="0.25">
      <c r="A11" s="18" t="s">
        <v>74</v>
      </c>
      <c r="B11" s="3">
        <v>5710.37</v>
      </c>
      <c r="C11" s="18" t="s">
        <v>72</v>
      </c>
      <c r="D11" s="18" t="s">
        <v>73</v>
      </c>
      <c r="E11" s="8" t="s">
        <v>12</v>
      </c>
      <c r="F11" s="5" t="s">
        <v>220</v>
      </c>
      <c r="G11" s="27"/>
      <c r="I11" s="13" t="s">
        <v>16</v>
      </c>
      <c r="J11" s="14">
        <v>73.125</v>
      </c>
      <c r="K11"/>
    </row>
    <row r="12" spans="1:11" x14ac:dyDescent="0.25">
      <c r="A12" s="18" t="s">
        <v>75</v>
      </c>
      <c r="B12" s="3">
        <v>60</v>
      </c>
      <c r="C12" s="18" t="s">
        <v>8</v>
      </c>
      <c r="D12" s="18" t="s">
        <v>63</v>
      </c>
      <c r="E12" s="8" t="s">
        <v>12</v>
      </c>
      <c r="F12" s="5" t="s">
        <v>221</v>
      </c>
      <c r="G12" s="27"/>
      <c r="I12" s="13" t="s">
        <v>14</v>
      </c>
      <c r="J12" s="14">
        <v>81.37233333333333</v>
      </c>
      <c r="K12"/>
    </row>
    <row r="13" spans="1:11" x14ac:dyDescent="0.25">
      <c r="A13" s="18" t="s">
        <v>76</v>
      </c>
      <c r="B13" s="3">
        <v>100</v>
      </c>
      <c r="C13" s="18" t="s">
        <v>8</v>
      </c>
      <c r="D13" s="18" t="s">
        <v>63</v>
      </c>
      <c r="E13" s="8" t="s">
        <v>12</v>
      </c>
      <c r="F13" s="5" t="s">
        <v>222</v>
      </c>
      <c r="G13" s="27"/>
      <c r="I13" s="13" t="s">
        <v>73</v>
      </c>
      <c r="J13" s="14">
        <v>26110.37</v>
      </c>
      <c r="K13"/>
    </row>
    <row r="14" spans="1:11" x14ac:dyDescent="0.25">
      <c r="A14" s="18" t="s">
        <v>77</v>
      </c>
      <c r="B14" s="3">
        <v>49.9</v>
      </c>
      <c r="C14" s="18" t="s">
        <v>8</v>
      </c>
      <c r="D14" s="18" t="s">
        <v>20</v>
      </c>
      <c r="E14" s="8" t="s">
        <v>12</v>
      </c>
      <c r="F14" s="5" t="s">
        <v>222</v>
      </c>
      <c r="G14" s="27"/>
      <c r="I14" s="13" t="s">
        <v>68</v>
      </c>
      <c r="J14" s="14">
        <v>1434.45</v>
      </c>
      <c r="K14"/>
    </row>
    <row r="15" spans="1:11" x14ac:dyDescent="0.25">
      <c r="A15" s="18" t="s">
        <v>78</v>
      </c>
      <c r="B15" s="3">
        <v>16.899999999999999</v>
      </c>
      <c r="C15" s="18" t="s">
        <v>8</v>
      </c>
      <c r="D15" s="18" t="s">
        <v>20</v>
      </c>
      <c r="E15" s="8" t="s">
        <v>12</v>
      </c>
      <c r="F15" s="5" t="s">
        <v>223</v>
      </c>
      <c r="G15" s="27"/>
      <c r="I15" s="13" t="s">
        <v>11</v>
      </c>
      <c r="J15" s="14">
        <v>256.16739285714289</v>
      </c>
      <c r="K15"/>
    </row>
    <row r="16" spans="1:11" x14ac:dyDescent="0.25">
      <c r="A16" s="18" t="s">
        <v>80</v>
      </c>
      <c r="B16" s="3">
        <v>857</v>
      </c>
      <c r="C16" s="18" t="s">
        <v>8</v>
      </c>
      <c r="D16" s="18" t="s">
        <v>68</v>
      </c>
      <c r="E16" s="8" t="s">
        <v>12</v>
      </c>
      <c r="F16" s="5" t="s">
        <v>224</v>
      </c>
      <c r="G16" s="27"/>
      <c r="I16" s="13" t="s">
        <v>118</v>
      </c>
      <c r="J16" s="14">
        <v>411.48</v>
      </c>
      <c r="K16"/>
    </row>
    <row r="17" spans="1:11" x14ac:dyDescent="0.25">
      <c r="A17" s="18" t="s">
        <v>81</v>
      </c>
      <c r="B17" s="3">
        <v>113.7</v>
      </c>
      <c r="C17" s="18" t="s">
        <v>8</v>
      </c>
      <c r="D17" s="18" t="s">
        <v>68</v>
      </c>
      <c r="E17" s="8" t="s">
        <v>12</v>
      </c>
      <c r="F17" s="5" t="s">
        <v>224</v>
      </c>
      <c r="G17" s="27"/>
      <c r="I17" s="13" t="s">
        <v>517</v>
      </c>
      <c r="J17" s="14">
        <v>694.05583333333345</v>
      </c>
      <c r="K17"/>
    </row>
    <row r="18" spans="1:11" x14ac:dyDescent="0.25">
      <c r="A18" s="18" t="s">
        <v>82</v>
      </c>
      <c r="B18" s="3">
        <v>100</v>
      </c>
      <c r="C18" s="18" t="s">
        <v>8</v>
      </c>
      <c r="D18" s="18" t="s">
        <v>68</v>
      </c>
      <c r="E18" s="8" t="s">
        <v>12</v>
      </c>
      <c r="F18" s="5" t="s">
        <v>224</v>
      </c>
      <c r="G18" s="27"/>
      <c r="I18" s="15" t="s">
        <v>130</v>
      </c>
      <c r="J18" s="16">
        <v>38844.406809523804</v>
      </c>
      <c r="K18"/>
    </row>
    <row r="19" spans="1:11" x14ac:dyDescent="0.25">
      <c r="A19" s="18" t="s">
        <v>83</v>
      </c>
      <c r="B19" s="3">
        <v>4400</v>
      </c>
      <c r="C19" s="18" t="s">
        <v>72</v>
      </c>
      <c r="D19" s="18" t="s">
        <v>73</v>
      </c>
      <c r="E19" s="8" t="s">
        <v>12</v>
      </c>
      <c r="F19" s="5" t="s">
        <v>224</v>
      </c>
      <c r="G19" s="27"/>
      <c r="I19"/>
      <c r="J19"/>
      <c r="K19"/>
    </row>
    <row r="20" spans="1:11" ht="15.75" customHeight="1" x14ac:dyDescent="0.25">
      <c r="A20" s="126" t="s">
        <v>601</v>
      </c>
      <c r="B20" s="3">
        <v>16000</v>
      </c>
      <c r="C20" s="18" t="s">
        <v>72</v>
      </c>
      <c r="D20" s="18" t="s">
        <v>73</v>
      </c>
      <c r="E20" s="8" t="s">
        <v>17</v>
      </c>
      <c r="F20" s="5" t="s">
        <v>224</v>
      </c>
      <c r="G20" s="27"/>
      <c r="I20"/>
      <c r="J20"/>
      <c r="K20"/>
    </row>
    <row r="21" spans="1:11" ht="15.75" customHeight="1" x14ac:dyDescent="0.25">
      <c r="A21" s="144" t="s">
        <v>636</v>
      </c>
      <c r="B21" s="3">
        <v>800</v>
      </c>
      <c r="C21" s="18" t="s">
        <v>8</v>
      </c>
      <c r="D21" s="144" t="s">
        <v>114</v>
      </c>
      <c r="E21" s="8" t="s">
        <v>12</v>
      </c>
      <c r="F21" s="5">
        <v>45868</v>
      </c>
      <c r="G21" s="27"/>
      <c r="I21"/>
      <c r="J21"/>
      <c r="K21"/>
    </row>
    <row r="22" spans="1:11" ht="15.75" customHeight="1" x14ac:dyDescent="0.25">
      <c r="A22" s="126" t="s">
        <v>533</v>
      </c>
      <c r="B22" s="3">
        <v>2000</v>
      </c>
      <c r="C22" s="18" t="s">
        <v>8</v>
      </c>
      <c r="D22" s="126" t="s">
        <v>22</v>
      </c>
      <c r="E22" s="8" t="s">
        <v>17</v>
      </c>
      <c r="F22" s="5">
        <v>45868</v>
      </c>
      <c r="G22" s="27"/>
      <c r="I22"/>
      <c r="J22"/>
    </row>
    <row r="23" spans="1:11" ht="15.75" customHeight="1" x14ac:dyDescent="0.25">
      <c r="A23" s="29" t="s">
        <v>315</v>
      </c>
      <c r="B23" s="3">
        <f>877.5/12</f>
        <v>73.125</v>
      </c>
      <c r="C23" s="2" t="s">
        <v>8</v>
      </c>
      <c r="D23" s="2" t="s">
        <v>16</v>
      </c>
      <c r="E23" s="8" t="s">
        <v>12</v>
      </c>
      <c r="F23" s="5">
        <v>45629</v>
      </c>
      <c r="G23" s="31" t="s">
        <v>325</v>
      </c>
      <c r="I23"/>
      <c r="J23"/>
    </row>
    <row r="24" spans="1:11" ht="15.75" customHeight="1" x14ac:dyDescent="0.25">
      <c r="A24" s="30" t="s">
        <v>318</v>
      </c>
      <c r="B24" s="3">
        <v>68.8</v>
      </c>
      <c r="C24" s="18" t="s">
        <v>8</v>
      </c>
      <c r="D24" s="18" t="s">
        <v>22</v>
      </c>
      <c r="E24" s="8" t="s">
        <v>12</v>
      </c>
      <c r="F24" s="5">
        <v>45668</v>
      </c>
      <c r="G24" s="31" t="s">
        <v>323</v>
      </c>
      <c r="I24"/>
      <c r="J24"/>
    </row>
    <row r="25" spans="1:11" ht="15.75" customHeight="1" x14ac:dyDescent="0.25">
      <c r="A25" s="29" t="s">
        <v>319</v>
      </c>
      <c r="B25" s="3">
        <f>598.8/12</f>
        <v>49.9</v>
      </c>
      <c r="C25" s="2" t="s">
        <v>8</v>
      </c>
      <c r="D25" s="2" t="s">
        <v>20</v>
      </c>
      <c r="E25" s="2" t="s">
        <v>12</v>
      </c>
      <c r="F25" s="5">
        <v>45681</v>
      </c>
      <c r="G25" s="31" t="s">
        <v>323</v>
      </c>
      <c r="I25"/>
      <c r="J25"/>
    </row>
    <row r="26" spans="1:11" ht="15.75" customHeight="1" x14ac:dyDescent="0.25">
      <c r="A26" s="25" t="s">
        <v>282</v>
      </c>
      <c r="B26" s="138">
        <v>39.134999999999998</v>
      </c>
      <c r="C26" s="18" t="s">
        <v>8</v>
      </c>
      <c r="D26" s="18" t="s">
        <v>22</v>
      </c>
      <c r="E26" s="25" t="s">
        <v>12</v>
      </c>
      <c r="F26" s="26">
        <v>45718</v>
      </c>
      <c r="G26" s="31" t="s">
        <v>314</v>
      </c>
      <c r="I26"/>
      <c r="J26"/>
    </row>
    <row r="27" spans="1:11" ht="15.75" customHeight="1" x14ac:dyDescent="0.25">
      <c r="A27" s="25" t="s">
        <v>391</v>
      </c>
      <c r="B27" s="138">
        <v>36.907499999999999</v>
      </c>
      <c r="C27" s="18" t="s">
        <v>8</v>
      </c>
      <c r="D27" s="18" t="s">
        <v>22</v>
      </c>
      <c r="E27" s="25" t="s">
        <v>17</v>
      </c>
      <c r="F27" s="26">
        <v>45734</v>
      </c>
      <c r="G27" s="27" t="s">
        <v>320</v>
      </c>
      <c r="I27"/>
      <c r="J27"/>
    </row>
    <row r="28" spans="1:11" ht="15.75" customHeight="1" x14ac:dyDescent="0.25">
      <c r="A28" s="25" t="s">
        <v>392</v>
      </c>
      <c r="B28" s="138">
        <v>133.25</v>
      </c>
      <c r="C28" s="18" t="s">
        <v>8</v>
      </c>
      <c r="D28" s="18" t="s">
        <v>22</v>
      </c>
      <c r="E28" s="25" t="s">
        <v>17</v>
      </c>
      <c r="F28" s="26">
        <v>45734</v>
      </c>
      <c r="G28" s="27" t="s">
        <v>320</v>
      </c>
      <c r="I28"/>
      <c r="J28"/>
    </row>
    <row r="29" spans="1:11" ht="15.75" customHeight="1" x14ac:dyDescent="0.25">
      <c r="A29" s="25" t="s">
        <v>418</v>
      </c>
      <c r="B29" s="138">
        <v>52.28875</v>
      </c>
      <c r="C29" s="18" t="s">
        <v>8</v>
      </c>
      <c r="D29" s="18" t="s">
        <v>61</v>
      </c>
      <c r="E29" s="25" t="s">
        <v>12</v>
      </c>
      <c r="F29" s="26">
        <v>45753</v>
      </c>
      <c r="G29" s="27" t="s">
        <v>312</v>
      </c>
      <c r="I29"/>
      <c r="J29"/>
    </row>
    <row r="30" spans="1:11" ht="15.75" customHeight="1" x14ac:dyDescent="0.25">
      <c r="A30" s="25" t="s">
        <v>456</v>
      </c>
      <c r="B30" s="138">
        <v>52.06</v>
      </c>
      <c r="C30" s="18" t="s">
        <v>8</v>
      </c>
      <c r="D30" s="18" t="s">
        <v>22</v>
      </c>
      <c r="E30" s="25" t="s">
        <v>12</v>
      </c>
      <c r="F30" s="26">
        <v>45780</v>
      </c>
      <c r="G30" s="27" t="s">
        <v>357</v>
      </c>
      <c r="I30"/>
      <c r="J30"/>
    </row>
    <row r="31" spans="1:11" ht="15.75" customHeight="1" x14ac:dyDescent="0.25">
      <c r="A31" s="25" t="s">
        <v>490</v>
      </c>
      <c r="B31" s="138">
        <v>53.569000000000003</v>
      </c>
      <c r="C31" s="18" t="s">
        <v>8</v>
      </c>
      <c r="D31" s="18" t="s">
        <v>14</v>
      </c>
      <c r="E31" s="25" t="s">
        <v>12</v>
      </c>
      <c r="F31" s="26">
        <v>45799</v>
      </c>
      <c r="G31" s="27" t="s">
        <v>356</v>
      </c>
      <c r="I31"/>
      <c r="J31"/>
    </row>
    <row r="32" spans="1:11" ht="15.75" customHeight="1" x14ac:dyDescent="0.25">
      <c r="A32" s="25" t="s">
        <v>518</v>
      </c>
      <c r="B32" s="138">
        <v>133.64000000000001</v>
      </c>
      <c r="C32" s="18" t="s">
        <v>8</v>
      </c>
      <c r="D32" s="18" t="s">
        <v>517</v>
      </c>
      <c r="E32" s="25" t="s">
        <v>17</v>
      </c>
      <c r="F32" s="26">
        <v>45798</v>
      </c>
      <c r="G32" s="27" t="s">
        <v>525</v>
      </c>
      <c r="I32"/>
      <c r="J32"/>
    </row>
    <row r="33" spans="1:10" ht="15.75" customHeight="1" x14ac:dyDescent="0.25">
      <c r="A33" s="25" t="s">
        <v>527</v>
      </c>
      <c r="B33" s="138">
        <v>133.64000000000001</v>
      </c>
      <c r="C33" s="18" t="s">
        <v>8</v>
      </c>
      <c r="D33" s="18" t="s">
        <v>517</v>
      </c>
      <c r="E33" s="25" t="s">
        <v>17</v>
      </c>
      <c r="F33" s="26">
        <v>45810</v>
      </c>
      <c r="G33" s="27" t="s">
        <v>524</v>
      </c>
      <c r="I33"/>
      <c r="J33"/>
    </row>
    <row r="34" spans="1:10" ht="15.75" customHeight="1" x14ac:dyDescent="0.25">
      <c r="A34" s="25" t="s">
        <v>544</v>
      </c>
      <c r="B34" s="138">
        <v>77.12</v>
      </c>
      <c r="C34" s="18" t="s">
        <v>8</v>
      </c>
      <c r="D34" s="18" t="s">
        <v>114</v>
      </c>
      <c r="E34" s="25" t="s">
        <v>12</v>
      </c>
      <c r="F34" s="26">
        <v>45816</v>
      </c>
      <c r="G34" s="27" t="s">
        <v>354</v>
      </c>
      <c r="I34"/>
      <c r="J34"/>
    </row>
    <row r="35" spans="1:10" ht="15.75" customHeight="1" x14ac:dyDescent="0.25">
      <c r="A35" s="25" t="s">
        <v>554</v>
      </c>
      <c r="B35" s="138">
        <v>138.91499999999999</v>
      </c>
      <c r="C35" s="18" t="s">
        <v>8</v>
      </c>
      <c r="D35" s="18" t="s">
        <v>517</v>
      </c>
      <c r="E35" s="25" t="s">
        <v>17</v>
      </c>
      <c r="F35" s="26">
        <v>45823</v>
      </c>
      <c r="G35" s="27" t="s">
        <v>353</v>
      </c>
      <c r="I35"/>
      <c r="J35"/>
    </row>
    <row r="36" spans="1:10" ht="15.75" customHeight="1" x14ac:dyDescent="0.25">
      <c r="A36" s="25" t="s">
        <v>555</v>
      </c>
      <c r="B36" s="138">
        <v>151.80333333333334</v>
      </c>
      <c r="C36" s="18" t="s">
        <v>8</v>
      </c>
      <c r="D36" s="18" t="s">
        <v>517</v>
      </c>
      <c r="E36" s="25" t="s">
        <v>17</v>
      </c>
      <c r="F36" s="26">
        <v>45823</v>
      </c>
      <c r="G36" s="27" t="s">
        <v>353</v>
      </c>
      <c r="I36"/>
      <c r="J36"/>
    </row>
    <row r="37" spans="1:10" ht="15.75" customHeight="1" x14ac:dyDescent="0.25">
      <c r="A37" s="25" t="s">
        <v>564</v>
      </c>
      <c r="B37" s="138">
        <v>11.417142857142858</v>
      </c>
      <c r="C37" s="18" t="s">
        <v>8</v>
      </c>
      <c r="D37" s="18" t="s">
        <v>11</v>
      </c>
      <c r="E37" s="25" t="s">
        <v>12</v>
      </c>
      <c r="F37" s="26">
        <v>45824</v>
      </c>
      <c r="G37" s="27" t="s">
        <v>524</v>
      </c>
      <c r="I37"/>
      <c r="J37"/>
    </row>
    <row r="38" spans="1:10" ht="15.75" customHeight="1" x14ac:dyDescent="0.25">
      <c r="A38" s="25" t="s">
        <v>572</v>
      </c>
      <c r="B38" s="138">
        <v>22.349999999999998</v>
      </c>
      <c r="C38" s="18" t="s">
        <v>8</v>
      </c>
      <c r="D38" s="18" t="s">
        <v>61</v>
      </c>
      <c r="E38" s="25" t="s">
        <v>12</v>
      </c>
      <c r="F38" s="26">
        <v>45831</v>
      </c>
      <c r="G38" s="27" t="s">
        <v>322</v>
      </c>
      <c r="I38"/>
      <c r="J38"/>
    </row>
    <row r="39" spans="1:10" ht="15.75" customHeight="1" x14ac:dyDescent="0.25">
      <c r="A39" s="25" t="s">
        <v>573</v>
      </c>
      <c r="B39" s="138">
        <v>54.256250000000001</v>
      </c>
      <c r="C39" s="18" t="s">
        <v>8</v>
      </c>
      <c r="D39" s="18" t="s">
        <v>11</v>
      </c>
      <c r="E39" s="25" t="s">
        <v>12</v>
      </c>
      <c r="F39" s="26">
        <v>45831</v>
      </c>
      <c r="G39" s="27" t="s">
        <v>355</v>
      </c>
      <c r="I39"/>
      <c r="J39"/>
    </row>
    <row r="40" spans="1:10" ht="15.75" customHeight="1" x14ac:dyDescent="0.25">
      <c r="A40" s="25" t="s">
        <v>574</v>
      </c>
      <c r="B40" s="138">
        <v>27.803333333333331</v>
      </c>
      <c r="C40" s="18" t="s">
        <v>8</v>
      </c>
      <c r="D40" s="18" t="s">
        <v>14</v>
      </c>
      <c r="E40" s="25" t="s">
        <v>12</v>
      </c>
      <c r="F40" s="26">
        <v>45831</v>
      </c>
      <c r="G40" s="27" t="s">
        <v>353</v>
      </c>
      <c r="I40"/>
      <c r="J40"/>
    </row>
    <row r="41" spans="1:10" ht="15.75" customHeight="1" x14ac:dyDescent="0.25">
      <c r="A41" s="25" t="s">
        <v>585</v>
      </c>
      <c r="B41" s="138">
        <v>55.875</v>
      </c>
      <c r="C41" s="18" t="s">
        <v>8</v>
      </c>
      <c r="D41" s="18" t="s">
        <v>22</v>
      </c>
      <c r="E41" s="25" t="s">
        <v>12</v>
      </c>
      <c r="F41" s="26">
        <v>45832</v>
      </c>
      <c r="G41" s="27" t="s">
        <v>355</v>
      </c>
      <c r="I41"/>
      <c r="J41"/>
    </row>
    <row r="42" spans="1:10" ht="15.75" customHeight="1" x14ac:dyDescent="0.25">
      <c r="A42" s="25" t="s">
        <v>544</v>
      </c>
      <c r="B42" s="138">
        <v>36.313333333333333</v>
      </c>
      <c r="C42" s="18" t="s">
        <v>8</v>
      </c>
      <c r="D42" s="18" t="s">
        <v>11</v>
      </c>
      <c r="E42" s="25" t="s">
        <v>12</v>
      </c>
      <c r="F42" s="26">
        <v>45832</v>
      </c>
      <c r="G42" s="27" t="s">
        <v>353</v>
      </c>
      <c r="I42"/>
      <c r="J42"/>
    </row>
    <row r="43" spans="1:10" ht="15.75" customHeight="1" x14ac:dyDescent="0.25">
      <c r="A43" s="25" t="s">
        <v>586</v>
      </c>
      <c r="B43" s="138">
        <v>68</v>
      </c>
      <c r="C43" s="18" t="s">
        <v>8</v>
      </c>
      <c r="D43" s="18" t="s">
        <v>22</v>
      </c>
      <c r="E43" s="25" t="s">
        <v>12</v>
      </c>
      <c r="F43" s="26">
        <v>45832</v>
      </c>
      <c r="G43" s="27" t="s">
        <v>353</v>
      </c>
      <c r="I43"/>
      <c r="J43"/>
    </row>
    <row r="44" spans="1:10" ht="15.75" customHeight="1" x14ac:dyDescent="0.25">
      <c r="A44" s="25" t="s">
        <v>591</v>
      </c>
      <c r="B44" s="138">
        <v>50</v>
      </c>
      <c r="C44" s="18" t="s">
        <v>8</v>
      </c>
      <c r="D44" s="18" t="s">
        <v>114</v>
      </c>
      <c r="E44" s="25" t="s">
        <v>12</v>
      </c>
      <c r="F44" s="26">
        <v>45834</v>
      </c>
      <c r="G44" s="27" t="s">
        <v>354</v>
      </c>
      <c r="I44"/>
      <c r="J44"/>
    </row>
    <row r="45" spans="1:10" ht="15.75" customHeight="1" x14ac:dyDescent="0.25">
      <c r="A45" s="25" t="s">
        <v>623</v>
      </c>
      <c r="B45" s="138">
        <v>89</v>
      </c>
      <c r="C45" s="18" t="s">
        <v>8</v>
      </c>
      <c r="D45" s="18" t="s">
        <v>20</v>
      </c>
      <c r="E45" s="25" t="s">
        <v>12</v>
      </c>
      <c r="F45" s="26">
        <v>45852</v>
      </c>
      <c r="G45" s="27" t="s">
        <v>298</v>
      </c>
      <c r="I45"/>
      <c r="J45"/>
    </row>
    <row r="46" spans="1:10" ht="15.75" customHeight="1" x14ac:dyDescent="0.25">
      <c r="A46" s="25" t="s">
        <v>626</v>
      </c>
      <c r="B46" s="138">
        <v>136.0575</v>
      </c>
      <c r="C46" s="18" t="s">
        <v>8</v>
      </c>
      <c r="D46" s="18" t="s">
        <v>517</v>
      </c>
      <c r="E46" s="25" t="s">
        <v>17</v>
      </c>
      <c r="F46" s="26">
        <v>45853</v>
      </c>
      <c r="G46" s="27" t="s">
        <v>298</v>
      </c>
      <c r="I46"/>
      <c r="J46"/>
    </row>
    <row r="47" spans="1:10" ht="15.75" customHeight="1" x14ac:dyDescent="0.25">
      <c r="A47" s="25" t="s">
        <v>632</v>
      </c>
      <c r="B47" s="138">
        <v>81.563999999999993</v>
      </c>
      <c r="C47" s="18" t="s">
        <v>8</v>
      </c>
      <c r="D47" s="18" t="s">
        <v>11</v>
      </c>
      <c r="E47" s="25" t="s">
        <v>12</v>
      </c>
      <c r="F47" s="26">
        <v>45854</v>
      </c>
      <c r="G47" s="27" t="s">
        <v>335</v>
      </c>
      <c r="I47"/>
      <c r="J47"/>
    </row>
    <row r="48" spans="1:10" ht="15.75" customHeight="1" x14ac:dyDescent="0.25">
      <c r="A48" s="25" t="s">
        <v>633</v>
      </c>
      <c r="B48" s="138">
        <v>42.616666666666667</v>
      </c>
      <c r="C48" s="18" t="s">
        <v>8</v>
      </c>
      <c r="D48" s="18" t="s">
        <v>11</v>
      </c>
      <c r="E48" s="25" t="s">
        <v>12</v>
      </c>
      <c r="F48" s="26">
        <v>45854</v>
      </c>
      <c r="G48" s="27" t="s">
        <v>334</v>
      </c>
      <c r="I48"/>
      <c r="J48"/>
    </row>
    <row r="49" spans="1:10" ht="15.75" customHeight="1" x14ac:dyDescent="0.25">
      <c r="A49" s="25" t="s">
        <v>634</v>
      </c>
      <c r="B49" s="139">
        <v>30</v>
      </c>
      <c r="C49" s="18" t="s">
        <v>8</v>
      </c>
      <c r="D49" s="18" t="s">
        <v>11</v>
      </c>
      <c r="E49" s="25" t="s">
        <v>12</v>
      </c>
      <c r="F49" s="26">
        <v>45854</v>
      </c>
      <c r="G49" s="27" t="s">
        <v>335</v>
      </c>
      <c r="I49"/>
      <c r="J49"/>
    </row>
    <row r="50" spans="1:10" ht="15.75" customHeight="1" x14ac:dyDescent="0.25">
      <c r="A50" s="25" t="s">
        <v>649</v>
      </c>
      <c r="B50" s="143">
        <v>411.48</v>
      </c>
      <c r="C50" s="18" t="s">
        <v>8</v>
      </c>
      <c r="D50" s="18" t="s">
        <v>118</v>
      </c>
      <c r="E50" s="25" t="s">
        <v>17</v>
      </c>
      <c r="F50" s="26">
        <v>45856</v>
      </c>
      <c r="G50" s="27" t="s">
        <v>298</v>
      </c>
      <c r="I50"/>
      <c r="J50"/>
    </row>
    <row r="51" spans="1:10" ht="15.75" customHeight="1" x14ac:dyDescent="0.25">
      <c r="A51" s="25" t="s">
        <v>652</v>
      </c>
      <c r="B51" s="148">
        <v>44.5</v>
      </c>
      <c r="C51" s="18" t="s">
        <v>8</v>
      </c>
      <c r="D51" s="18" t="s">
        <v>11</v>
      </c>
      <c r="E51" s="181" t="s">
        <v>12</v>
      </c>
      <c r="F51" s="26">
        <v>45859</v>
      </c>
      <c r="G51" s="27" t="s">
        <v>334</v>
      </c>
      <c r="I51"/>
      <c r="J51"/>
    </row>
    <row r="52" spans="1:10" ht="15.75" customHeight="1" x14ac:dyDescent="0.25">
      <c r="A52" s="25" t="s">
        <v>654</v>
      </c>
      <c r="B52" s="148">
        <v>52.050000000000004</v>
      </c>
      <c r="C52" s="18" t="s">
        <v>8</v>
      </c>
      <c r="D52" s="150" t="s">
        <v>14</v>
      </c>
      <c r="E52" s="181" t="s">
        <v>12</v>
      </c>
      <c r="F52" s="26">
        <v>45864</v>
      </c>
      <c r="G52" s="27" t="s">
        <v>334</v>
      </c>
      <c r="I52"/>
      <c r="J52"/>
    </row>
    <row r="53" spans="1:10" ht="15.75" customHeight="1" x14ac:dyDescent="0.25">
      <c r="A53" s="25" t="s">
        <v>656</v>
      </c>
      <c r="B53" s="148">
        <v>157.25</v>
      </c>
      <c r="C53" s="18" t="s">
        <v>8</v>
      </c>
      <c r="D53" s="150" t="s">
        <v>16</v>
      </c>
      <c r="E53" s="181" t="s">
        <v>12</v>
      </c>
      <c r="F53" s="26">
        <v>45864</v>
      </c>
      <c r="G53" s="27" t="s">
        <v>336</v>
      </c>
      <c r="I53"/>
      <c r="J53"/>
    </row>
    <row r="54" spans="1:10" ht="15.75" customHeight="1" x14ac:dyDescent="0.25">
      <c r="A54" s="25" t="s">
        <v>662</v>
      </c>
      <c r="B54" s="148">
        <v>61.43</v>
      </c>
      <c r="C54" s="18" t="s">
        <v>8</v>
      </c>
      <c r="D54" s="150" t="s">
        <v>70</v>
      </c>
      <c r="E54" s="181" t="s">
        <v>12</v>
      </c>
      <c r="F54" s="26">
        <v>45864</v>
      </c>
      <c r="G54" s="27" t="s">
        <v>334</v>
      </c>
      <c r="I54"/>
      <c r="J54"/>
    </row>
    <row r="55" spans="1:10" ht="15.75" customHeight="1" x14ac:dyDescent="0.25">
      <c r="C55" s="18"/>
      <c r="D55" s="18"/>
      <c r="I55"/>
      <c r="J55"/>
    </row>
    <row r="56" spans="1:10" ht="15.75" customHeight="1" x14ac:dyDescent="0.25">
      <c r="C56" s="18"/>
      <c r="D56" s="18"/>
      <c r="I56"/>
      <c r="J56"/>
    </row>
    <row r="57" spans="1:10" ht="15.75" customHeight="1" x14ac:dyDescent="0.25">
      <c r="C57" s="18"/>
      <c r="D57" s="18"/>
      <c r="I57"/>
      <c r="J57"/>
    </row>
    <row r="58" spans="1:10" ht="15.75" customHeight="1" x14ac:dyDescent="0.25">
      <c r="C58" s="18"/>
      <c r="D58" s="18"/>
      <c r="I58"/>
      <c r="J58"/>
    </row>
    <row r="59" spans="1:10" ht="15.75" customHeight="1" x14ac:dyDescent="0.25">
      <c r="C59" s="18"/>
      <c r="D59" s="18"/>
      <c r="I59"/>
      <c r="J59"/>
    </row>
    <row r="60" spans="1:10" ht="15.75" customHeight="1" x14ac:dyDescent="0.25">
      <c r="C60" s="18"/>
      <c r="D60" s="18"/>
      <c r="I60"/>
      <c r="J60"/>
    </row>
    <row r="61" spans="1:10" ht="15.75" customHeight="1" x14ac:dyDescent="0.25">
      <c r="C61" s="18"/>
      <c r="D61" s="18"/>
      <c r="I61"/>
      <c r="J61"/>
    </row>
    <row r="62" spans="1:10" ht="15.75" customHeight="1" x14ac:dyDescent="0.25">
      <c r="C62" s="18"/>
      <c r="D62" s="18"/>
      <c r="I62"/>
      <c r="J62"/>
    </row>
    <row r="63" spans="1:10" ht="15.75" customHeight="1" x14ac:dyDescent="0.25">
      <c r="C63" s="18"/>
      <c r="D63" s="18"/>
      <c r="I63"/>
      <c r="J63"/>
    </row>
    <row r="64" spans="1:10" ht="15.75" customHeight="1" x14ac:dyDescent="0.25">
      <c r="C64" s="18"/>
      <c r="D64" s="18"/>
      <c r="I64"/>
      <c r="J64"/>
    </row>
    <row r="65" spans="3:10" ht="15.75" customHeight="1" x14ac:dyDescent="0.25">
      <c r="C65" s="18"/>
      <c r="D65" s="18"/>
      <c r="I65"/>
      <c r="J65"/>
    </row>
    <row r="66" spans="3:10" ht="15.75" customHeight="1" x14ac:dyDescent="0.25">
      <c r="C66" s="18"/>
      <c r="D66" s="18"/>
      <c r="I66"/>
      <c r="J66"/>
    </row>
    <row r="67" spans="3:10" ht="15.75" customHeight="1" x14ac:dyDescent="0.25">
      <c r="C67" s="18"/>
      <c r="D67" s="18"/>
      <c r="I67"/>
      <c r="J67"/>
    </row>
    <row r="68" spans="3:10" ht="15.75" customHeight="1" x14ac:dyDescent="0.25">
      <c r="C68" s="18"/>
      <c r="D68" s="18"/>
      <c r="I68"/>
      <c r="J68"/>
    </row>
    <row r="69" spans="3:10" ht="15.75" customHeight="1" x14ac:dyDescent="0.25">
      <c r="C69" s="18"/>
      <c r="D69" s="18"/>
      <c r="I69"/>
      <c r="J69"/>
    </row>
    <row r="70" spans="3:10" ht="15.75" customHeight="1" x14ac:dyDescent="0.25">
      <c r="C70" s="18"/>
      <c r="D70" s="18"/>
      <c r="I70"/>
      <c r="J70"/>
    </row>
    <row r="71" spans="3:10" ht="15.75" customHeight="1" x14ac:dyDescent="0.25">
      <c r="C71" s="18"/>
      <c r="D71" s="18"/>
      <c r="I71"/>
      <c r="J71"/>
    </row>
    <row r="72" spans="3:10" ht="15.75" customHeight="1" x14ac:dyDescent="0.25">
      <c r="C72" s="18"/>
      <c r="D72" s="18"/>
      <c r="I72"/>
      <c r="J72"/>
    </row>
    <row r="73" spans="3:10" ht="15.75" customHeight="1" x14ac:dyDescent="0.25">
      <c r="C73" s="18"/>
      <c r="D73" s="18"/>
      <c r="I73"/>
      <c r="J73"/>
    </row>
    <row r="74" spans="3:10" ht="15.75" customHeight="1" x14ac:dyDescent="0.25">
      <c r="C74" s="18"/>
      <c r="D74" s="18"/>
      <c r="I74"/>
      <c r="J74"/>
    </row>
    <row r="75" spans="3:10" ht="15.75" customHeight="1" x14ac:dyDescent="0.25">
      <c r="C75" s="18"/>
      <c r="D75" s="18"/>
      <c r="I75"/>
      <c r="J75"/>
    </row>
    <row r="76" spans="3:10" ht="15.75" customHeight="1" x14ac:dyDescent="0.25">
      <c r="C76" s="18"/>
      <c r="D76" s="18"/>
      <c r="I76"/>
      <c r="J76"/>
    </row>
    <row r="77" spans="3:10" ht="15.75" customHeight="1" x14ac:dyDescent="0.25">
      <c r="C77" s="18"/>
      <c r="D77" s="18"/>
      <c r="I77"/>
      <c r="J77"/>
    </row>
    <row r="78" spans="3:10" ht="15.75" customHeight="1" x14ac:dyDescent="0.25">
      <c r="C78" s="18"/>
      <c r="D78" s="18"/>
      <c r="I78"/>
      <c r="J78"/>
    </row>
    <row r="79" spans="3:10" ht="15.75" customHeight="1" x14ac:dyDescent="0.25">
      <c r="C79" s="18"/>
      <c r="D79" s="18"/>
      <c r="I79"/>
      <c r="J79"/>
    </row>
    <row r="80" spans="3:10" ht="15.75" customHeight="1" x14ac:dyDescent="0.25">
      <c r="C80" s="18"/>
      <c r="D80" s="18"/>
      <c r="I80"/>
      <c r="J80"/>
    </row>
    <row r="81" spans="3:10" ht="15.75" customHeight="1" x14ac:dyDescent="0.25">
      <c r="C81" s="18"/>
      <c r="D81" s="18"/>
      <c r="I81"/>
      <c r="J81"/>
    </row>
    <row r="82" spans="3:10" ht="15.75" customHeight="1" x14ac:dyDescent="0.25">
      <c r="C82" s="18"/>
      <c r="D82" s="18"/>
      <c r="I82"/>
      <c r="J82"/>
    </row>
    <row r="83" spans="3:10" ht="15.75" customHeight="1" x14ac:dyDescent="0.25">
      <c r="C83" s="18"/>
      <c r="D83" s="18"/>
      <c r="I83"/>
      <c r="J83"/>
    </row>
    <row r="84" spans="3:10" ht="15.75" customHeight="1" x14ac:dyDescent="0.25">
      <c r="C84" s="18"/>
      <c r="D84" s="18"/>
      <c r="I84"/>
      <c r="J84"/>
    </row>
    <row r="85" spans="3:10" ht="15.75" customHeight="1" x14ac:dyDescent="0.25">
      <c r="C85" s="18"/>
      <c r="D85" s="18"/>
      <c r="I85"/>
      <c r="J85"/>
    </row>
    <row r="86" spans="3:10" ht="15.75" customHeight="1" x14ac:dyDescent="0.25">
      <c r="C86" s="18"/>
      <c r="D86" s="18"/>
      <c r="I86"/>
      <c r="J86"/>
    </row>
    <row r="87" spans="3:10" ht="15.75" customHeight="1" x14ac:dyDescent="0.25">
      <c r="C87" s="18"/>
      <c r="D87" s="18"/>
      <c r="I87"/>
      <c r="J87"/>
    </row>
    <row r="88" spans="3:10" ht="15.75" customHeight="1" x14ac:dyDescent="0.25">
      <c r="C88" s="18"/>
      <c r="D88" s="18"/>
      <c r="I88"/>
      <c r="J88"/>
    </row>
    <row r="89" spans="3:10" ht="15.75" customHeight="1" x14ac:dyDescent="0.25">
      <c r="C89" s="18"/>
      <c r="D89" s="18"/>
      <c r="I89"/>
      <c r="J89"/>
    </row>
    <row r="90" spans="3:10" ht="15.75" customHeight="1" x14ac:dyDescent="0.25">
      <c r="C90" s="18"/>
      <c r="D90" s="18"/>
      <c r="I90"/>
      <c r="J90"/>
    </row>
    <row r="91" spans="3:10" ht="15.75" customHeight="1" x14ac:dyDescent="0.25">
      <c r="C91" s="18"/>
      <c r="D91" s="18"/>
      <c r="I91"/>
      <c r="J91"/>
    </row>
    <row r="92" spans="3:10" ht="15.75" customHeight="1" x14ac:dyDescent="0.25">
      <c r="C92" s="18"/>
      <c r="D92" s="18"/>
      <c r="I92"/>
      <c r="J92"/>
    </row>
    <row r="93" spans="3:10" ht="15.75" customHeight="1" x14ac:dyDescent="0.25">
      <c r="C93" s="18"/>
      <c r="D93" s="18"/>
      <c r="I93"/>
      <c r="J93"/>
    </row>
    <row r="94" spans="3:10" ht="15.75" customHeight="1" x14ac:dyDescent="0.25">
      <c r="C94" s="18"/>
      <c r="D94" s="18"/>
      <c r="I94"/>
      <c r="J94"/>
    </row>
    <row r="95" spans="3:10" ht="15.75" customHeight="1" x14ac:dyDescent="0.25">
      <c r="C95" s="18"/>
      <c r="D95" s="18"/>
      <c r="I95"/>
      <c r="J95"/>
    </row>
    <row r="96" spans="3:10" ht="15.75" customHeight="1" x14ac:dyDescent="0.25">
      <c r="C96" s="18"/>
      <c r="D96" s="18"/>
      <c r="I96"/>
      <c r="J96"/>
    </row>
    <row r="97" spans="3:4" ht="15.75" customHeight="1" x14ac:dyDescent="0.25">
      <c r="C97" s="18"/>
      <c r="D97" s="18"/>
    </row>
    <row r="98" spans="3:4" ht="15.75" customHeight="1" x14ac:dyDescent="0.25">
      <c r="C98" s="18"/>
      <c r="D98" s="18"/>
    </row>
    <row r="99" spans="3:4" ht="15.75" customHeight="1" x14ac:dyDescent="0.25">
      <c r="C99" s="18"/>
      <c r="D99" s="18"/>
    </row>
    <row r="100" spans="3:4" ht="15.75" customHeight="1" x14ac:dyDescent="0.25">
      <c r="C100" s="18"/>
      <c r="D100" s="18"/>
    </row>
    <row r="101" spans="3:4" ht="15.75" customHeight="1" x14ac:dyDescent="0.25">
      <c r="C101" s="18"/>
      <c r="D101" s="18"/>
    </row>
    <row r="102" spans="3:4" ht="15.75" customHeight="1" x14ac:dyDescent="0.25">
      <c r="C102" s="18"/>
      <c r="D102" s="18"/>
    </row>
    <row r="103" spans="3:4" ht="15.75" customHeight="1" x14ac:dyDescent="0.25">
      <c r="C103" s="18"/>
      <c r="D103" s="18"/>
    </row>
    <row r="104" spans="3:4" ht="15.75" customHeight="1" x14ac:dyDescent="0.25">
      <c r="C104" s="18"/>
      <c r="D104" s="18"/>
    </row>
    <row r="105" spans="3:4" ht="15.75" customHeight="1" x14ac:dyDescent="0.25">
      <c r="C105" s="18"/>
      <c r="D105" s="18"/>
    </row>
    <row r="106" spans="3:4" ht="15.75" customHeight="1" x14ac:dyDescent="0.25">
      <c r="C106" s="18"/>
      <c r="D106" s="18"/>
    </row>
    <row r="107" spans="3:4" ht="15.75" customHeight="1" x14ac:dyDescent="0.25">
      <c r="C107" s="18"/>
      <c r="D107" s="18"/>
    </row>
    <row r="108" spans="3:4" ht="15.75" customHeight="1" x14ac:dyDescent="0.25">
      <c r="C108" s="18"/>
      <c r="D108" s="18"/>
    </row>
    <row r="109" spans="3:4" ht="15.75" customHeight="1" x14ac:dyDescent="0.25">
      <c r="C109" s="18"/>
      <c r="D109" s="18"/>
    </row>
    <row r="110" spans="3:4" ht="15.75" customHeight="1" x14ac:dyDescent="0.25">
      <c r="C110" s="18"/>
      <c r="D110" s="18"/>
    </row>
    <row r="111" spans="3:4" ht="15.75" customHeight="1" x14ac:dyDescent="0.25">
      <c r="C111" s="18"/>
      <c r="D111" s="18"/>
    </row>
    <row r="112" spans="3:4" ht="15.75" customHeight="1" x14ac:dyDescent="0.25">
      <c r="C112" s="18"/>
      <c r="D112" s="18"/>
    </row>
    <row r="113" spans="3:4" ht="15.75" customHeight="1" x14ac:dyDescent="0.25">
      <c r="C113" s="18"/>
      <c r="D113" s="18"/>
    </row>
    <row r="114" spans="3:4" ht="15.75" customHeight="1" x14ac:dyDescent="0.25">
      <c r="C114" s="18"/>
      <c r="D114" s="18"/>
    </row>
    <row r="115" spans="3:4" ht="15.75" customHeight="1" x14ac:dyDescent="0.25">
      <c r="C115" s="18"/>
      <c r="D115" s="18"/>
    </row>
    <row r="116" spans="3:4" ht="15.75" customHeight="1" x14ac:dyDescent="0.25">
      <c r="C116" s="18"/>
      <c r="D116" s="18"/>
    </row>
    <row r="117" spans="3:4" ht="15.75" customHeight="1" x14ac:dyDescent="0.25">
      <c r="C117" s="18"/>
      <c r="D117" s="18"/>
    </row>
    <row r="118" spans="3:4" ht="15.75" customHeight="1" x14ac:dyDescent="0.25">
      <c r="C118" s="18"/>
      <c r="D118" s="18"/>
    </row>
    <row r="119" spans="3:4" ht="15.75" customHeight="1" x14ac:dyDescent="0.25">
      <c r="C119" s="18"/>
      <c r="D119" s="18"/>
    </row>
    <row r="120" spans="3:4" ht="15.75" customHeight="1" x14ac:dyDescent="0.25">
      <c r="C120" s="18"/>
      <c r="D120" s="18"/>
    </row>
    <row r="121" spans="3:4" ht="15.75" customHeight="1" x14ac:dyDescent="0.25">
      <c r="C121" s="18"/>
      <c r="D121" s="18"/>
    </row>
    <row r="122" spans="3:4" ht="15.75" customHeight="1" x14ac:dyDescent="0.25">
      <c r="C122" s="18"/>
      <c r="D122" s="18"/>
    </row>
    <row r="123" spans="3:4" ht="15.75" customHeight="1" x14ac:dyDescent="0.25">
      <c r="C123" s="18"/>
      <c r="D123" s="18"/>
    </row>
    <row r="124" spans="3:4" ht="15.75" customHeight="1" x14ac:dyDescent="0.25">
      <c r="C124" s="18"/>
      <c r="D124" s="18"/>
    </row>
    <row r="125" spans="3:4" ht="15.75" customHeight="1" x14ac:dyDescent="0.25">
      <c r="C125" s="18"/>
      <c r="D125" s="18"/>
    </row>
    <row r="126" spans="3:4" ht="15.75" customHeight="1" x14ac:dyDescent="0.25">
      <c r="C126" s="18"/>
      <c r="D126" s="18"/>
    </row>
    <row r="127" spans="3:4" ht="15.75" customHeight="1" x14ac:dyDescent="0.25">
      <c r="C127" s="18"/>
      <c r="D127" s="18"/>
    </row>
    <row r="128" spans="3:4" ht="15.75" customHeight="1" x14ac:dyDescent="0.25">
      <c r="C128" s="18"/>
      <c r="D128" s="18"/>
    </row>
    <row r="129" spans="3:4" ht="15.75" customHeight="1" x14ac:dyDescent="0.25">
      <c r="C129" s="18"/>
      <c r="D129" s="18"/>
    </row>
    <row r="130" spans="3:4" ht="15.75" customHeight="1" x14ac:dyDescent="0.25">
      <c r="C130" s="18"/>
      <c r="D130" s="18"/>
    </row>
    <row r="131" spans="3:4" ht="15.75" customHeight="1" x14ac:dyDescent="0.25">
      <c r="C131" s="18"/>
      <c r="D131" s="18"/>
    </row>
    <row r="132" spans="3:4" ht="15.75" customHeight="1" x14ac:dyDescent="0.25">
      <c r="C132" s="18"/>
      <c r="D132" s="18"/>
    </row>
    <row r="133" spans="3:4" ht="15.75" customHeight="1" x14ac:dyDescent="0.25">
      <c r="C133" s="18"/>
      <c r="D133" s="18"/>
    </row>
    <row r="134" spans="3:4" ht="15.75" customHeight="1" x14ac:dyDescent="0.25">
      <c r="C134" s="18"/>
      <c r="D134" s="18"/>
    </row>
    <row r="135" spans="3:4" ht="15.75" customHeight="1" x14ac:dyDescent="0.25">
      <c r="C135" s="18"/>
      <c r="D135" s="18"/>
    </row>
    <row r="136" spans="3:4" ht="15.75" customHeight="1" x14ac:dyDescent="0.25">
      <c r="C136" s="18"/>
      <c r="D136" s="18"/>
    </row>
    <row r="137" spans="3:4" ht="15.75" customHeight="1" x14ac:dyDescent="0.25">
      <c r="C137" s="18"/>
      <c r="D137" s="18"/>
    </row>
    <row r="138" spans="3:4" ht="15.75" customHeight="1" x14ac:dyDescent="0.25">
      <c r="C138" s="18"/>
      <c r="D138" s="18"/>
    </row>
    <row r="139" spans="3:4" ht="15.75" customHeight="1" x14ac:dyDescent="0.25">
      <c r="C139" s="18"/>
      <c r="D139" s="18"/>
    </row>
    <row r="140" spans="3:4" ht="15.75" customHeight="1" x14ac:dyDescent="0.25">
      <c r="C140" s="18"/>
      <c r="D140" s="18"/>
    </row>
    <row r="141" spans="3:4" ht="15.75" customHeight="1" x14ac:dyDescent="0.25">
      <c r="C141" s="18"/>
      <c r="D141" s="18"/>
    </row>
    <row r="142" spans="3:4" ht="15.75" customHeight="1" x14ac:dyDescent="0.25">
      <c r="C142" s="18"/>
      <c r="D142" s="18"/>
    </row>
    <row r="143" spans="3:4" ht="15.75" customHeight="1" x14ac:dyDescent="0.25">
      <c r="C143" s="18"/>
      <c r="D143" s="18"/>
    </row>
    <row r="144" spans="3:4" ht="15.75" customHeight="1" x14ac:dyDescent="0.25">
      <c r="C144" s="18"/>
      <c r="D144" s="18"/>
    </row>
    <row r="145" spans="3:4" ht="15.75" customHeight="1" x14ac:dyDescent="0.25">
      <c r="C145" s="18"/>
      <c r="D145" s="18"/>
    </row>
    <row r="146" spans="3:4" ht="15.75" customHeight="1" x14ac:dyDescent="0.25">
      <c r="C146" s="18"/>
      <c r="D146" s="18"/>
    </row>
    <row r="147" spans="3:4" ht="15.75" customHeight="1" x14ac:dyDescent="0.25">
      <c r="C147" s="18"/>
      <c r="D147" s="18"/>
    </row>
    <row r="148" spans="3:4" ht="15.75" customHeight="1" x14ac:dyDescent="0.25">
      <c r="C148" s="18"/>
      <c r="D148" s="18"/>
    </row>
    <row r="149" spans="3:4" ht="15.75" customHeight="1" x14ac:dyDescent="0.25">
      <c r="C149" s="18"/>
      <c r="D149" s="18"/>
    </row>
    <row r="150" spans="3:4" ht="15.75" customHeight="1" x14ac:dyDescent="0.25">
      <c r="C150" s="18"/>
      <c r="D150" s="18"/>
    </row>
    <row r="151" spans="3:4" ht="15.75" customHeight="1" x14ac:dyDescent="0.25">
      <c r="C151" s="18"/>
      <c r="D151" s="18"/>
    </row>
    <row r="152" spans="3:4" ht="15.75" customHeight="1" x14ac:dyDescent="0.25">
      <c r="C152" s="18"/>
      <c r="D152" s="18"/>
    </row>
    <row r="153" spans="3:4" ht="15.75" customHeight="1" x14ac:dyDescent="0.25">
      <c r="C153" s="18"/>
      <c r="D153" s="18"/>
    </row>
    <row r="154" spans="3:4" ht="15.75" customHeight="1" x14ac:dyDescent="0.25">
      <c r="C154" s="18"/>
      <c r="D154" s="18"/>
    </row>
    <row r="155" spans="3:4" ht="15.75" customHeight="1" x14ac:dyDescent="0.25">
      <c r="C155" s="18"/>
      <c r="D155" s="18"/>
    </row>
    <row r="156" spans="3:4" ht="15.75" customHeight="1" x14ac:dyDescent="0.25">
      <c r="C156" s="18"/>
      <c r="D156" s="18"/>
    </row>
    <row r="157" spans="3:4" ht="15.75" customHeight="1" x14ac:dyDescent="0.25">
      <c r="C157" s="18"/>
      <c r="D157" s="18"/>
    </row>
    <row r="158" spans="3:4" ht="15.75" customHeight="1" x14ac:dyDescent="0.25">
      <c r="C158" s="18"/>
      <c r="D158" s="18"/>
    </row>
    <row r="159" spans="3:4" ht="15.75" customHeight="1" x14ac:dyDescent="0.25">
      <c r="C159" s="18"/>
      <c r="D159" s="18"/>
    </row>
    <row r="160" spans="3: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/>
    <row r="971" spans="3:4" ht="15.75" customHeight="1" x14ac:dyDescent="0.25"/>
    <row r="972" spans="3:4" ht="15.75" customHeight="1" x14ac:dyDescent="0.25"/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262E6-71F0-46A3-92A0-D851D8B5F362}">
  <sheetPr codeName="Sheet15"/>
  <dimension ref="A1:K996"/>
  <sheetViews>
    <sheetView workbookViewId="0">
      <selection activeCell="I43" sqref="I43"/>
    </sheetView>
  </sheetViews>
  <sheetFormatPr defaultColWidth="14.42578125" defaultRowHeight="15" customHeight="1" x14ac:dyDescent="0.25"/>
  <cols>
    <col min="1" max="1" width="28.85546875" style="25" bestFit="1" customWidth="1"/>
    <col min="2" max="2" width="9.7109375" style="25" customWidth="1"/>
    <col min="3" max="3" width="12.7109375" style="25" customWidth="1"/>
    <col min="4" max="4" width="16.5703125" style="25" customWidth="1"/>
    <col min="5" max="5" width="9.5703125" style="25" customWidth="1"/>
    <col min="6" max="6" width="14.28515625" style="25" customWidth="1"/>
    <col min="7" max="7" width="10.5703125" style="25" customWidth="1"/>
    <col min="8" max="8" width="8.7109375" style="25" customWidth="1"/>
    <col min="9" max="9" width="16.42578125" style="25" bestFit="1" customWidth="1"/>
    <col min="10" max="10" width="14.85546875" style="25" bestFit="1" customWidth="1"/>
    <col min="11" max="26" width="8.7109375" style="25" customWidth="1"/>
    <col min="27" max="16384" width="14.42578125" style="25"/>
  </cols>
  <sheetData>
    <row r="1" spans="1:11" x14ac:dyDescent="0.25">
      <c r="A1" s="184" t="s">
        <v>0</v>
      </c>
      <c r="B1" s="190">
        <f>SUMIF('12_2025'!$C$5:$C$47,"Expense",'12_2025'!$B$5:$B$47)-SUMIF('12_2025'!$C$5:$C$47,"Income",'12_2025'!$B$5:$B$47)</f>
        <v>-13719.866940476193</v>
      </c>
    </row>
    <row r="2" spans="1:11" ht="15" customHeight="1" x14ac:dyDescent="0.25">
      <c r="A2" s="186"/>
      <c r="B2" s="186"/>
    </row>
    <row r="3" spans="1:11" x14ac:dyDescent="0.25">
      <c r="F3" s="18">
        <v>12</v>
      </c>
    </row>
    <row r="4" spans="1:11" x14ac:dyDescent="0.25">
      <c r="A4" s="18" t="s">
        <v>1</v>
      </c>
      <c r="B4" s="28" t="s">
        <v>2</v>
      </c>
      <c r="C4" s="18" t="s">
        <v>3</v>
      </c>
      <c r="D4" s="18" t="s">
        <v>4</v>
      </c>
      <c r="E4" s="18" t="s">
        <v>5</v>
      </c>
      <c r="F4" s="18" t="s">
        <v>6</v>
      </c>
      <c r="G4" s="30" t="s">
        <v>333</v>
      </c>
      <c r="I4" s="11" t="s">
        <v>129</v>
      </c>
      <c r="J4" s="12" t="s">
        <v>131</v>
      </c>
      <c r="K4"/>
    </row>
    <row r="5" spans="1:11" x14ac:dyDescent="0.25">
      <c r="A5" s="18" t="s">
        <v>60</v>
      </c>
      <c r="B5" s="3">
        <v>272</v>
      </c>
      <c r="C5" s="18" t="s">
        <v>8</v>
      </c>
      <c r="D5" s="18" t="s">
        <v>61</v>
      </c>
      <c r="E5" s="8" t="s">
        <v>12</v>
      </c>
      <c r="F5" s="5" t="s">
        <v>217</v>
      </c>
      <c r="G5" s="27"/>
      <c r="I5" s="13" t="s">
        <v>70</v>
      </c>
      <c r="J5" s="14">
        <v>5000</v>
      </c>
      <c r="K5"/>
    </row>
    <row r="6" spans="1:11" x14ac:dyDescent="0.25">
      <c r="A6" s="18" t="s">
        <v>62</v>
      </c>
      <c r="B6" s="3">
        <v>400</v>
      </c>
      <c r="C6" s="18" t="s">
        <v>8</v>
      </c>
      <c r="D6" s="18" t="s">
        <v>63</v>
      </c>
      <c r="E6" s="8" t="s">
        <v>12</v>
      </c>
      <c r="F6" s="5" t="s">
        <v>217</v>
      </c>
      <c r="G6" s="27"/>
      <c r="I6" s="13" t="s">
        <v>20</v>
      </c>
      <c r="J6" s="14">
        <v>205.7</v>
      </c>
      <c r="K6"/>
    </row>
    <row r="7" spans="1:11" x14ac:dyDescent="0.25">
      <c r="A7" s="18" t="s">
        <v>64</v>
      </c>
      <c r="B7" s="3">
        <v>289.89999999999998</v>
      </c>
      <c r="C7" s="18" t="s">
        <v>8</v>
      </c>
      <c r="D7" s="18" t="s">
        <v>61</v>
      </c>
      <c r="E7" s="8" t="s">
        <v>17</v>
      </c>
      <c r="F7" s="5" t="s">
        <v>218</v>
      </c>
      <c r="G7" s="27"/>
      <c r="I7" s="13" t="s">
        <v>22</v>
      </c>
      <c r="J7" s="14">
        <v>2386.0275000000001</v>
      </c>
      <c r="K7"/>
    </row>
    <row r="8" spans="1:11" x14ac:dyDescent="0.25">
      <c r="A8" s="126" t="s">
        <v>411</v>
      </c>
      <c r="B8" s="3">
        <v>113.75</v>
      </c>
      <c r="C8" s="126" t="s">
        <v>8</v>
      </c>
      <c r="D8" s="18" t="s">
        <v>68</v>
      </c>
      <c r="E8" s="8" t="s">
        <v>12</v>
      </c>
      <c r="F8" s="5">
        <v>45899</v>
      </c>
      <c r="G8" s="27"/>
      <c r="I8" s="13" t="s">
        <v>114</v>
      </c>
      <c r="J8" s="14">
        <v>927.12</v>
      </c>
      <c r="K8"/>
    </row>
    <row r="9" spans="1:11" x14ac:dyDescent="0.25">
      <c r="A9" s="18" t="s">
        <v>67</v>
      </c>
      <c r="B9" s="3">
        <v>250</v>
      </c>
      <c r="C9" s="18" t="s">
        <v>8</v>
      </c>
      <c r="D9" s="18" t="s">
        <v>68</v>
      </c>
      <c r="E9" s="8" t="s">
        <v>12</v>
      </c>
      <c r="F9" s="5" t="s">
        <v>219</v>
      </c>
      <c r="G9" s="27"/>
      <c r="I9" s="13" t="s">
        <v>63</v>
      </c>
      <c r="J9" s="14">
        <v>560</v>
      </c>
      <c r="K9"/>
    </row>
    <row r="10" spans="1:11" x14ac:dyDescent="0.25">
      <c r="A10" s="18" t="s">
        <v>69</v>
      </c>
      <c r="B10" s="3">
        <v>5000</v>
      </c>
      <c r="C10" s="18" t="s">
        <v>8</v>
      </c>
      <c r="D10" s="18" t="s">
        <v>70</v>
      </c>
      <c r="E10" s="8" t="s">
        <v>12</v>
      </c>
      <c r="F10" s="5" t="s">
        <v>220</v>
      </c>
      <c r="G10" s="27"/>
      <c r="I10" s="13" t="s">
        <v>61</v>
      </c>
      <c r="J10" s="14">
        <v>584.25</v>
      </c>
      <c r="K10"/>
    </row>
    <row r="11" spans="1:11" x14ac:dyDescent="0.25">
      <c r="A11" s="18" t="s">
        <v>74</v>
      </c>
      <c r="B11" s="3">
        <v>5710.37</v>
      </c>
      <c r="C11" s="18" t="s">
        <v>72</v>
      </c>
      <c r="D11" s="18" t="s">
        <v>73</v>
      </c>
      <c r="E11" s="8" t="s">
        <v>12</v>
      </c>
      <c r="F11" s="5" t="s">
        <v>220</v>
      </c>
      <c r="G11" s="27"/>
      <c r="I11" s="13" t="s">
        <v>16</v>
      </c>
      <c r="J11" s="14">
        <v>73.125</v>
      </c>
      <c r="K11"/>
    </row>
    <row r="12" spans="1:11" x14ac:dyDescent="0.25">
      <c r="A12" s="18" t="s">
        <v>75</v>
      </c>
      <c r="B12" s="3">
        <v>60</v>
      </c>
      <c r="C12" s="18" t="s">
        <v>8</v>
      </c>
      <c r="D12" s="18" t="s">
        <v>63</v>
      </c>
      <c r="E12" s="8" t="s">
        <v>12</v>
      </c>
      <c r="F12" s="5" t="s">
        <v>221</v>
      </c>
      <c r="G12" s="27"/>
      <c r="I12" s="13" t="s">
        <v>14</v>
      </c>
      <c r="J12" s="14">
        <v>53.569000000000003</v>
      </c>
      <c r="K12"/>
    </row>
    <row r="13" spans="1:11" x14ac:dyDescent="0.25">
      <c r="A13" s="18" t="s">
        <v>76</v>
      </c>
      <c r="B13" s="3">
        <v>100</v>
      </c>
      <c r="C13" s="18" t="s">
        <v>8</v>
      </c>
      <c r="D13" s="18" t="s">
        <v>63</v>
      </c>
      <c r="E13" s="8" t="s">
        <v>12</v>
      </c>
      <c r="F13" s="5" t="s">
        <v>222</v>
      </c>
      <c r="G13" s="27"/>
      <c r="I13" s="13" t="s">
        <v>73</v>
      </c>
      <c r="J13" s="14">
        <v>26110.37</v>
      </c>
      <c r="K13"/>
    </row>
    <row r="14" spans="1:11" x14ac:dyDescent="0.25">
      <c r="A14" s="18" t="s">
        <v>77</v>
      </c>
      <c r="B14" s="3">
        <v>49.9</v>
      </c>
      <c r="C14" s="18" t="s">
        <v>8</v>
      </c>
      <c r="D14" s="18" t="s">
        <v>20</v>
      </c>
      <c r="E14" s="8" t="s">
        <v>12</v>
      </c>
      <c r="F14" s="5" t="s">
        <v>222</v>
      </c>
      <c r="G14" s="27"/>
      <c r="I14" s="13" t="s">
        <v>68</v>
      </c>
      <c r="J14" s="14">
        <v>1384.45</v>
      </c>
      <c r="K14"/>
    </row>
    <row r="15" spans="1:11" x14ac:dyDescent="0.25">
      <c r="A15" s="18" t="s">
        <v>78</v>
      </c>
      <c r="B15" s="3">
        <v>16.899999999999999</v>
      </c>
      <c r="C15" s="18" t="s">
        <v>8</v>
      </c>
      <c r="D15" s="18" t="s">
        <v>20</v>
      </c>
      <c r="E15" s="8" t="s">
        <v>12</v>
      </c>
      <c r="F15" s="5" t="s">
        <v>223</v>
      </c>
      <c r="G15" s="27"/>
      <c r="I15" s="13" t="s">
        <v>11</v>
      </c>
      <c r="J15" s="14">
        <v>219.85405952380952</v>
      </c>
      <c r="K15"/>
    </row>
    <row r="16" spans="1:11" x14ac:dyDescent="0.25">
      <c r="A16" s="18" t="s">
        <v>80</v>
      </c>
      <c r="B16" s="3">
        <v>857</v>
      </c>
      <c r="C16" s="18" t="s">
        <v>8</v>
      </c>
      <c r="D16" s="18" t="s">
        <v>68</v>
      </c>
      <c r="E16" s="8" t="s">
        <v>12</v>
      </c>
      <c r="F16" s="5" t="s">
        <v>224</v>
      </c>
      <c r="G16" s="27"/>
      <c r="I16" s="13" t="s">
        <v>118</v>
      </c>
      <c r="J16" s="14">
        <v>411.48</v>
      </c>
      <c r="K16"/>
    </row>
    <row r="17" spans="1:11" x14ac:dyDescent="0.25">
      <c r="A17" s="18" t="s">
        <v>81</v>
      </c>
      <c r="B17" s="3">
        <v>113.7</v>
      </c>
      <c r="C17" s="18" t="s">
        <v>8</v>
      </c>
      <c r="D17" s="18" t="s">
        <v>68</v>
      </c>
      <c r="E17" s="8" t="s">
        <v>12</v>
      </c>
      <c r="F17" s="5" t="s">
        <v>224</v>
      </c>
      <c r="G17" s="27"/>
      <c r="I17" s="13" t="s">
        <v>517</v>
      </c>
      <c r="J17" s="14">
        <v>269.69749999999999</v>
      </c>
      <c r="K17"/>
    </row>
    <row r="18" spans="1:11" x14ac:dyDescent="0.25">
      <c r="A18" s="18" t="s">
        <v>82</v>
      </c>
      <c r="B18" s="3">
        <v>50</v>
      </c>
      <c r="C18" s="18" t="s">
        <v>8</v>
      </c>
      <c r="D18" s="18" t="s">
        <v>68</v>
      </c>
      <c r="E18" s="8" t="s">
        <v>12</v>
      </c>
      <c r="F18" s="5" t="s">
        <v>224</v>
      </c>
      <c r="G18" s="27"/>
      <c r="I18" s="15" t="s">
        <v>130</v>
      </c>
      <c r="J18" s="16">
        <v>38185.643059523813</v>
      </c>
      <c r="K18"/>
    </row>
    <row r="19" spans="1:11" x14ac:dyDescent="0.25">
      <c r="A19" s="18" t="s">
        <v>83</v>
      </c>
      <c r="B19" s="3">
        <v>4400</v>
      </c>
      <c r="C19" s="18" t="s">
        <v>72</v>
      </c>
      <c r="D19" s="18" t="s">
        <v>73</v>
      </c>
      <c r="E19" s="8" t="s">
        <v>12</v>
      </c>
      <c r="F19" s="5" t="s">
        <v>224</v>
      </c>
      <c r="G19" s="27"/>
      <c r="I19"/>
      <c r="J19"/>
      <c r="K19"/>
    </row>
    <row r="20" spans="1:11" ht="15.75" customHeight="1" x14ac:dyDescent="0.25">
      <c r="A20" s="126" t="s">
        <v>601</v>
      </c>
      <c r="B20" s="3">
        <v>16000</v>
      </c>
      <c r="C20" s="18" t="s">
        <v>72</v>
      </c>
      <c r="D20" s="18" t="s">
        <v>73</v>
      </c>
      <c r="E20" s="8" t="s">
        <v>17</v>
      </c>
      <c r="F20" s="5" t="s">
        <v>224</v>
      </c>
      <c r="G20" s="27"/>
      <c r="I20"/>
      <c r="J20"/>
      <c r="K20"/>
    </row>
    <row r="21" spans="1:11" ht="15.75" customHeight="1" x14ac:dyDescent="0.25">
      <c r="A21" s="144" t="s">
        <v>636</v>
      </c>
      <c r="B21" s="3">
        <v>800</v>
      </c>
      <c r="C21" s="18" t="s">
        <v>8</v>
      </c>
      <c r="D21" s="144" t="s">
        <v>114</v>
      </c>
      <c r="E21" s="8" t="s">
        <v>12</v>
      </c>
      <c r="F21" s="5">
        <v>45868</v>
      </c>
      <c r="G21" s="27"/>
      <c r="I21"/>
      <c r="J21"/>
      <c r="K21"/>
    </row>
    <row r="22" spans="1:11" ht="15.75" customHeight="1" x14ac:dyDescent="0.25">
      <c r="A22" s="126" t="s">
        <v>533</v>
      </c>
      <c r="B22" s="3">
        <v>2000</v>
      </c>
      <c r="C22" s="18" t="s">
        <v>8</v>
      </c>
      <c r="D22" s="126" t="s">
        <v>22</v>
      </c>
      <c r="E22" s="8" t="s">
        <v>17</v>
      </c>
      <c r="F22" s="5">
        <v>45868</v>
      </c>
      <c r="G22" s="27"/>
      <c r="I22"/>
      <c r="J22"/>
    </row>
    <row r="23" spans="1:11" ht="15.75" customHeight="1" x14ac:dyDescent="0.25">
      <c r="A23" s="29" t="s">
        <v>315</v>
      </c>
      <c r="B23" s="3">
        <f>877.5/12</f>
        <v>73.125</v>
      </c>
      <c r="C23" s="2" t="s">
        <v>8</v>
      </c>
      <c r="D23" s="2" t="s">
        <v>16</v>
      </c>
      <c r="E23" s="8" t="s">
        <v>12</v>
      </c>
      <c r="F23" s="5">
        <v>45629</v>
      </c>
      <c r="G23" s="31" t="s">
        <v>326</v>
      </c>
      <c r="I23"/>
      <c r="J23"/>
    </row>
    <row r="24" spans="1:11" ht="15.75" customHeight="1" x14ac:dyDescent="0.25">
      <c r="A24" s="30" t="s">
        <v>318</v>
      </c>
      <c r="B24" s="3">
        <v>68.8</v>
      </c>
      <c r="C24" s="18" t="s">
        <v>8</v>
      </c>
      <c r="D24" s="18" t="s">
        <v>22</v>
      </c>
      <c r="E24" s="8" t="s">
        <v>12</v>
      </c>
      <c r="F24" s="5">
        <v>45668</v>
      </c>
      <c r="G24" s="31" t="s">
        <v>325</v>
      </c>
      <c r="I24"/>
      <c r="J24"/>
    </row>
    <row r="25" spans="1:11" ht="15.75" customHeight="1" x14ac:dyDescent="0.25">
      <c r="A25" s="29" t="s">
        <v>319</v>
      </c>
      <c r="B25" s="3">
        <f>598.8/12</f>
        <v>49.9</v>
      </c>
      <c r="C25" s="2" t="s">
        <v>8</v>
      </c>
      <c r="D25" s="2" t="s">
        <v>20</v>
      </c>
      <c r="E25" s="2" t="s">
        <v>12</v>
      </c>
      <c r="F25" s="5">
        <v>45681</v>
      </c>
      <c r="G25" s="31" t="s">
        <v>325</v>
      </c>
      <c r="I25"/>
      <c r="J25"/>
    </row>
    <row r="26" spans="1:11" ht="15.75" customHeight="1" x14ac:dyDescent="0.25">
      <c r="A26" s="25" t="s">
        <v>282</v>
      </c>
      <c r="B26" s="138">
        <v>39.134999999999998</v>
      </c>
      <c r="C26" s="18" t="s">
        <v>8</v>
      </c>
      <c r="D26" s="18" t="s">
        <v>22</v>
      </c>
      <c r="E26" s="25" t="s">
        <v>12</v>
      </c>
      <c r="F26" s="26">
        <v>45718</v>
      </c>
      <c r="G26" s="31" t="s">
        <v>320</v>
      </c>
      <c r="I26"/>
      <c r="J26"/>
    </row>
    <row r="27" spans="1:11" ht="15.75" customHeight="1" x14ac:dyDescent="0.25">
      <c r="A27" s="25" t="s">
        <v>391</v>
      </c>
      <c r="B27" s="138">
        <v>36.907499999999999</v>
      </c>
      <c r="C27" s="18" t="s">
        <v>8</v>
      </c>
      <c r="D27" s="18" t="s">
        <v>22</v>
      </c>
      <c r="E27" s="25" t="s">
        <v>17</v>
      </c>
      <c r="F27" s="26">
        <v>45734</v>
      </c>
      <c r="G27" s="27" t="s">
        <v>323</v>
      </c>
      <c r="I27"/>
      <c r="J27"/>
    </row>
    <row r="28" spans="1:11" ht="15.75" customHeight="1" x14ac:dyDescent="0.25">
      <c r="A28" s="25" t="s">
        <v>392</v>
      </c>
      <c r="B28" s="138">
        <v>133.25</v>
      </c>
      <c r="C28" s="18" t="s">
        <v>8</v>
      </c>
      <c r="D28" s="18" t="s">
        <v>22</v>
      </c>
      <c r="E28" s="25" t="s">
        <v>17</v>
      </c>
      <c r="F28" s="26">
        <v>45734</v>
      </c>
      <c r="G28" s="27" t="s">
        <v>323</v>
      </c>
      <c r="I28"/>
      <c r="J28"/>
    </row>
    <row r="29" spans="1:11" ht="15.75" customHeight="1" x14ac:dyDescent="0.25">
      <c r="A29" s="25" t="s">
        <v>456</v>
      </c>
      <c r="B29" s="138">
        <v>52.06</v>
      </c>
      <c r="C29" s="18" t="s">
        <v>8</v>
      </c>
      <c r="D29" s="18" t="s">
        <v>22</v>
      </c>
      <c r="E29" s="25" t="s">
        <v>12</v>
      </c>
      <c r="F29" s="26">
        <v>45780</v>
      </c>
      <c r="G29" s="27" t="s">
        <v>312</v>
      </c>
      <c r="I29"/>
      <c r="J29"/>
    </row>
    <row r="30" spans="1:11" ht="15.75" customHeight="1" x14ac:dyDescent="0.25">
      <c r="A30" s="25" t="s">
        <v>490</v>
      </c>
      <c r="B30" s="138">
        <v>53.569000000000003</v>
      </c>
      <c r="C30" s="18" t="s">
        <v>8</v>
      </c>
      <c r="D30" s="18" t="s">
        <v>14</v>
      </c>
      <c r="E30" s="25" t="s">
        <v>12</v>
      </c>
      <c r="F30" s="26">
        <v>45799</v>
      </c>
      <c r="G30" s="27" t="s">
        <v>313</v>
      </c>
      <c r="I30"/>
      <c r="J30"/>
    </row>
    <row r="31" spans="1:11" ht="15.75" customHeight="1" x14ac:dyDescent="0.25">
      <c r="A31" s="25" t="s">
        <v>527</v>
      </c>
      <c r="B31" s="138">
        <v>133.64000000000001</v>
      </c>
      <c r="C31" s="18" t="s">
        <v>8</v>
      </c>
      <c r="D31" s="18" t="s">
        <v>517</v>
      </c>
      <c r="E31" s="25" t="s">
        <v>17</v>
      </c>
      <c r="F31" s="26">
        <v>45810</v>
      </c>
      <c r="G31" s="27" t="s">
        <v>525</v>
      </c>
      <c r="I31"/>
      <c r="J31"/>
    </row>
    <row r="32" spans="1:11" ht="15.75" customHeight="1" x14ac:dyDescent="0.25">
      <c r="A32" s="25" t="s">
        <v>544</v>
      </c>
      <c r="B32" s="138">
        <v>77.12</v>
      </c>
      <c r="C32" s="18" t="s">
        <v>8</v>
      </c>
      <c r="D32" s="18" t="s">
        <v>114</v>
      </c>
      <c r="E32" s="25" t="s">
        <v>12</v>
      </c>
      <c r="F32" s="26">
        <v>45816</v>
      </c>
      <c r="G32" s="27" t="s">
        <v>356</v>
      </c>
      <c r="I32"/>
      <c r="J32"/>
    </row>
    <row r="33" spans="1:10" ht="15.75" customHeight="1" x14ac:dyDescent="0.25">
      <c r="A33" s="25" t="s">
        <v>564</v>
      </c>
      <c r="B33" s="138">
        <v>11.417142857142858</v>
      </c>
      <c r="C33" s="18" t="s">
        <v>8</v>
      </c>
      <c r="D33" s="18" t="s">
        <v>11</v>
      </c>
      <c r="E33" s="25" t="s">
        <v>12</v>
      </c>
      <c r="F33" s="26">
        <v>45824</v>
      </c>
      <c r="G33" s="27" t="s">
        <v>525</v>
      </c>
      <c r="I33"/>
      <c r="J33"/>
    </row>
    <row r="34" spans="1:10" ht="15.75" customHeight="1" x14ac:dyDescent="0.25">
      <c r="A34" s="25" t="s">
        <v>572</v>
      </c>
      <c r="B34" s="138">
        <v>22.349999999999998</v>
      </c>
      <c r="C34" s="18" t="s">
        <v>8</v>
      </c>
      <c r="D34" s="18" t="s">
        <v>61</v>
      </c>
      <c r="E34" s="25" t="s">
        <v>12</v>
      </c>
      <c r="F34" s="26">
        <v>45831</v>
      </c>
      <c r="G34" s="27" t="s">
        <v>311</v>
      </c>
      <c r="I34"/>
      <c r="J34"/>
    </row>
    <row r="35" spans="1:10" ht="15.75" customHeight="1" x14ac:dyDescent="0.25">
      <c r="A35" s="25" t="s">
        <v>573</v>
      </c>
      <c r="B35" s="138">
        <v>54.256250000000001</v>
      </c>
      <c r="C35" s="18" t="s">
        <v>8</v>
      </c>
      <c r="D35" s="18" t="s">
        <v>11</v>
      </c>
      <c r="E35" s="25" t="s">
        <v>12</v>
      </c>
      <c r="F35" s="26">
        <v>45831</v>
      </c>
      <c r="G35" s="27" t="s">
        <v>357</v>
      </c>
      <c r="I35"/>
      <c r="J35"/>
    </row>
    <row r="36" spans="1:10" ht="15.75" customHeight="1" x14ac:dyDescent="0.25">
      <c r="A36" s="25" t="s">
        <v>585</v>
      </c>
      <c r="B36" s="138">
        <v>55.875</v>
      </c>
      <c r="C36" s="18" t="s">
        <v>8</v>
      </c>
      <c r="D36" s="18" t="s">
        <v>22</v>
      </c>
      <c r="E36" s="25" t="s">
        <v>12</v>
      </c>
      <c r="F36" s="26">
        <v>45832</v>
      </c>
      <c r="G36" s="27" t="s">
        <v>357</v>
      </c>
      <c r="I36"/>
      <c r="J36"/>
    </row>
    <row r="37" spans="1:10" ht="15.75" customHeight="1" x14ac:dyDescent="0.25">
      <c r="A37" s="25" t="s">
        <v>591</v>
      </c>
      <c r="B37" s="138">
        <v>50</v>
      </c>
      <c r="C37" s="18" t="s">
        <v>8</v>
      </c>
      <c r="D37" s="18" t="s">
        <v>114</v>
      </c>
      <c r="E37" s="25" t="s">
        <v>12</v>
      </c>
      <c r="F37" s="26">
        <v>45834</v>
      </c>
      <c r="G37" s="27" t="s">
        <v>356</v>
      </c>
      <c r="I37"/>
      <c r="J37"/>
    </row>
    <row r="38" spans="1:10" ht="15.75" customHeight="1" x14ac:dyDescent="0.25">
      <c r="A38" s="25" t="s">
        <v>623</v>
      </c>
      <c r="B38" s="138">
        <v>89</v>
      </c>
      <c r="C38" s="18" t="s">
        <v>8</v>
      </c>
      <c r="D38" s="18" t="s">
        <v>20</v>
      </c>
      <c r="E38" s="25" t="s">
        <v>12</v>
      </c>
      <c r="F38" s="26">
        <v>45852</v>
      </c>
      <c r="G38" s="27" t="s">
        <v>322</v>
      </c>
      <c r="I38"/>
      <c r="J38"/>
    </row>
    <row r="39" spans="1:10" ht="15.75" customHeight="1" x14ac:dyDescent="0.25">
      <c r="A39" s="25" t="s">
        <v>626</v>
      </c>
      <c r="B39" s="138">
        <v>136.0575</v>
      </c>
      <c r="C39" s="18" t="s">
        <v>8</v>
      </c>
      <c r="D39" s="18" t="s">
        <v>517</v>
      </c>
      <c r="E39" s="25" t="s">
        <v>17</v>
      </c>
      <c r="F39" s="26">
        <v>45853</v>
      </c>
      <c r="G39" s="27" t="s">
        <v>322</v>
      </c>
      <c r="I39"/>
      <c r="J39"/>
    </row>
    <row r="40" spans="1:10" ht="15.75" customHeight="1" x14ac:dyDescent="0.25">
      <c r="A40" s="25" t="s">
        <v>632</v>
      </c>
      <c r="B40" s="138">
        <v>81.563999999999993</v>
      </c>
      <c r="C40" s="18" t="s">
        <v>8</v>
      </c>
      <c r="D40" s="18" t="s">
        <v>11</v>
      </c>
      <c r="E40" s="25" t="s">
        <v>12</v>
      </c>
      <c r="F40" s="26">
        <v>45854</v>
      </c>
      <c r="G40" s="27" t="s">
        <v>354</v>
      </c>
      <c r="I40"/>
      <c r="J40"/>
    </row>
    <row r="41" spans="1:10" ht="15.75" customHeight="1" x14ac:dyDescent="0.25">
      <c r="A41" s="25" t="s">
        <v>633</v>
      </c>
      <c r="B41" s="138">
        <v>42.616666666666667</v>
      </c>
      <c r="C41" s="18" t="s">
        <v>8</v>
      </c>
      <c r="D41" s="18" t="s">
        <v>11</v>
      </c>
      <c r="E41" s="25" t="s">
        <v>12</v>
      </c>
      <c r="F41" s="26">
        <v>45854</v>
      </c>
      <c r="G41" s="27" t="s">
        <v>353</v>
      </c>
      <c r="I41"/>
      <c r="J41"/>
    </row>
    <row r="42" spans="1:10" ht="15.75" customHeight="1" x14ac:dyDescent="0.25">
      <c r="A42" s="25" t="s">
        <v>634</v>
      </c>
      <c r="B42" s="139">
        <v>30</v>
      </c>
      <c r="C42" s="18" t="s">
        <v>8</v>
      </c>
      <c r="D42" s="18" t="s">
        <v>11</v>
      </c>
      <c r="E42" s="25" t="s">
        <v>12</v>
      </c>
      <c r="F42" s="26">
        <v>45854</v>
      </c>
      <c r="G42" s="27" t="s">
        <v>354</v>
      </c>
      <c r="I42"/>
      <c r="J42"/>
    </row>
    <row r="43" spans="1:10" ht="15.75" customHeight="1" x14ac:dyDescent="0.25">
      <c r="A43" s="25" t="s">
        <v>649</v>
      </c>
      <c r="B43" s="143">
        <v>411.48</v>
      </c>
      <c r="C43" s="18" t="s">
        <v>8</v>
      </c>
      <c r="D43" s="18" t="s">
        <v>118</v>
      </c>
      <c r="E43" s="25" t="s">
        <v>17</v>
      </c>
      <c r="F43" s="26">
        <v>45856</v>
      </c>
      <c r="G43" s="27" t="s">
        <v>322</v>
      </c>
      <c r="I43"/>
      <c r="J43"/>
    </row>
    <row r="44" spans="1:10" ht="15.75" customHeight="1" x14ac:dyDescent="0.25">
      <c r="A44" s="25" t="s">
        <v>652</v>
      </c>
      <c r="B44" s="148">
        <v>44.5</v>
      </c>
      <c r="C44" s="18" t="s">
        <v>8</v>
      </c>
      <c r="D44" s="18" t="s">
        <v>11</v>
      </c>
      <c r="E44" s="181" t="s">
        <v>12</v>
      </c>
      <c r="F44" s="26">
        <v>45859</v>
      </c>
      <c r="G44" s="27" t="s">
        <v>353</v>
      </c>
      <c r="I44"/>
      <c r="J44"/>
    </row>
    <row r="45" spans="1:10" ht="15.75" customHeight="1" x14ac:dyDescent="0.25">
      <c r="A45" s="25" t="s">
        <v>654</v>
      </c>
      <c r="B45" s="148">
        <v>52.050000000000004</v>
      </c>
      <c r="C45" s="18" t="s">
        <v>8</v>
      </c>
      <c r="D45" s="150" t="s">
        <v>14</v>
      </c>
      <c r="E45" s="181" t="s">
        <v>12</v>
      </c>
      <c r="F45" s="26">
        <v>45864</v>
      </c>
      <c r="G45" s="27" t="s">
        <v>353</v>
      </c>
      <c r="I45"/>
      <c r="J45"/>
    </row>
    <row r="46" spans="1:10" ht="15.75" customHeight="1" x14ac:dyDescent="0.25">
      <c r="A46" s="25" t="s">
        <v>656</v>
      </c>
      <c r="B46" s="148">
        <v>157.25</v>
      </c>
      <c r="C46" s="18" t="s">
        <v>8</v>
      </c>
      <c r="D46" s="150" t="s">
        <v>16</v>
      </c>
      <c r="E46" s="181" t="s">
        <v>12</v>
      </c>
      <c r="F46" s="26">
        <v>45864</v>
      </c>
      <c r="G46" s="27" t="s">
        <v>355</v>
      </c>
      <c r="I46"/>
      <c r="J46"/>
    </row>
    <row r="47" spans="1:10" ht="15.75" customHeight="1" x14ac:dyDescent="0.25">
      <c r="A47" s="25" t="s">
        <v>662</v>
      </c>
      <c r="B47" s="148">
        <v>61.43</v>
      </c>
      <c r="C47" s="18" t="s">
        <v>8</v>
      </c>
      <c r="D47" s="150" t="s">
        <v>70</v>
      </c>
      <c r="E47" s="181" t="s">
        <v>12</v>
      </c>
      <c r="F47" s="26">
        <v>45864</v>
      </c>
      <c r="G47" s="27" t="s">
        <v>353</v>
      </c>
      <c r="I47"/>
      <c r="J47"/>
    </row>
    <row r="48" spans="1:10" ht="15.75" customHeight="1" x14ac:dyDescent="0.25">
      <c r="C48" s="18"/>
      <c r="D48" s="18"/>
      <c r="I48"/>
      <c r="J48"/>
    </row>
    <row r="49" spans="3:10" ht="15.75" customHeight="1" x14ac:dyDescent="0.25">
      <c r="C49" s="18"/>
      <c r="D49" s="18"/>
      <c r="I49"/>
      <c r="J49"/>
    </row>
    <row r="50" spans="3:10" ht="15.75" customHeight="1" x14ac:dyDescent="0.25">
      <c r="C50" s="18"/>
      <c r="D50" s="18"/>
      <c r="I50"/>
      <c r="J50"/>
    </row>
    <row r="51" spans="3:10" ht="15.75" customHeight="1" x14ac:dyDescent="0.25">
      <c r="C51" s="18"/>
      <c r="D51" s="18"/>
      <c r="I51"/>
      <c r="J51"/>
    </row>
    <row r="52" spans="3:10" ht="15.75" customHeight="1" x14ac:dyDescent="0.25">
      <c r="C52" s="18"/>
      <c r="D52" s="18"/>
      <c r="I52"/>
      <c r="J52"/>
    </row>
    <row r="53" spans="3:10" ht="15.75" customHeight="1" x14ac:dyDescent="0.25">
      <c r="C53" s="18"/>
      <c r="D53" s="18"/>
      <c r="I53"/>
      <c r="J53"/>
    </row>
    <row r="54" spans="3:10" ht="15.75" customHeight="1" x14ac:dyDescent="0.25">
      <c r="C54" s="18"/>
      <c r="D54" s="18"/>
      <c r="I54"/>
      <c r="J54"/>
    </row>
    <row r="55" spans="3:10" ht="15.75" customHeight="1" x14ac:dyDescent="0.25">
      <c r="C55" s="18"/>
      <c r="D55" s="18"/>
      <c r="I55"/>
      <c r="J55"/>
    </row>
    <row r="56" spans="3:10" ht="15.75" customHeight="1" x14ac:dyDescent="0.25">
      <c r="C56" s="18"/>
      <c r="D56" s="18"/>
      <c r="I56"/>
      <c r="J56"/>
    </row>
    <row r="57" spans="3:10" ht="15.75" customHeight="1" x14ac:dyDescent="0.25">
      <c r="C57" s="18"/>
      <c r="D57" s="18"/>
      <c r="I57"/>
      <c r="J57"/>
    </row>
    <row r="58" spans="3:10" ht="15.75" customHeight="1" x14ac:dyDescent="0.25">
      <c r="C58" s="18"/>
      <c r="D58" s="18"/>
      <c r="I58"/>
      <c r="J58"/>
    </row>
    <row r="59" spans="3:10" ht="15.75" customHeight="1" x14ac:dyDescent="0.25">
      <c r="C59" s="18"/>
      <c r="D59" s="18"/>
      <c r="I59"/>
      <c r="J59"/>
    </row>
    <row r="60" spans="3:10" ht="15.75" customHeight="1" x14ac:dyDescent="0.25">
      <c r="C60" s="18"/>
      <c r="D60" s="18"/>
      <c r="I60"/>
      <c r="J60"/>
    </row>
    <row r="61" spans="3:10" ht="15.75" customHeight="1" x14ac:dyDescent="0.25">
      <c r="C61" s="18"/>
      <c r="D61" s="18"/>
      <c r="I61"/>
      <c r="J61"/>
    </row>
    <row r="62" spans="3:10" ht="15.75" customHeight="1" x14ac:dyDescent="0.25">
      <c r="C62" s="18"/>
      <c r="D62" s="18"/>
      <c r="I62"/>
      <c r="J62"/>
    </row>
    <row r="63" spans="3:10" ht="15.75" customHeight="1" x14ac:dyDescent="0.25">
      <c r="C63" s="18"/>
      <c r="D63" s="18"/>
      <c r="I63"/>
      <c r="J63"/>
    </row>
    <row r="64" spans="3:10" ht="15.75" customHeight="1" x14ac:dyDescent="0.25">
      <c r="C64" s="18"/>
      <c r="D64" s="18"/>
      <c r="I64"/>
      <c r="J64"/>
    </row>
    <row r="65" spans="3:10" ht="15.75" customHeight="1" x14ac:dyDescent="0.25">
      <c r="C65" s="18"/>
      <c r="D65" s="18"/>
      <c r="I65"/>
      <c r="J65"/>
    </row>
    <row r="66" spans="3:10" ht="15.75" customHeight="1" x14ac:dyDescent="0.25">
      <c r="C66" s="18"/>
      <c r="D66" s="18"/>
      <c r="I66"/>
      <c r="J66"/>
    </row>
    <row r="67" spans="3:10" ht="15.75" customHeight="1" x14ac:dyDescent="0.25">
      <c r="C67" s="18"/>
      <c r="D67" s="18"/>
      <c r="I67"/>
      <c r="J67"/>
    </row>
    <row r="68" spans="3:10" ht="15.75" customHeight="1" x14ac:dyDescent="0.25">
      <c r="C68" s="18"/>
      <c r="D68" s="18"/>
      <c r="I68"/>
      <c r="J68"/>
    </row>
    <row r="69" spans="3:10" ht="15.75" customHeight="1" x14ac:dyDescent="0.25">
      <c r="C69" s="18"/>
      <c r="D69" s="18"/>
      <c r="I69"/>
      <c r="J69"/>
    </row>
    <row r="70" spans="3:10" ht="15.75" customHeight="1" x14ac:dyDescent="0.25">
      <c r="C70" s="18"/>
      <c r="D70" s="18"/>
      <c r="I70"/>
      <c r="J70"/>
    </row>
    <row r="71" spans="3:10" ht="15.75" customHeight="1" x14ac:dyDescent="0.25">
      <c r="C71" s="18"/>
      <c r="D71" s="18"/>
      <c r="I71"/>
      <c r="J71"/>
    </row>
    <row r="72" spans="3:10" ht="15.75" customHeight="1" x14ac:dyDescent="0.25">
      <c r="C72" s="18"/>
      <c r="D72" s="18"/>
      <c r="I72"/>
      <c r="J72"/>
    </row>
    <row r="73" spans="3:10" ht="15.75" customHeight="1" x14ac:dyDescent="0.25">
      <c r="C73" s="18"/>
      <c r="D73" s="18"/>
      <c r="I73"/>
      <c r="J73"/>
    </row>
    <row r="74" spans="3:10" ht="15.75" customHeight="1" x14ac:dyDescent="0.25">
      <c r="C74" s="18"/>
      <c r="D74" s="18"/>
      <c r="I74"/>
      <c r="J74"/>
    </row>
    <row r="75" spans="3:10" ht="15.75" customHeight="1" x14ac:dyDescent="0.25">
      <c r="C75" s="18"/>
      <c r="D75" s="18"/>
      <c r="I75"/>
      <c r="J75"/>
    </row>
    <row r="76" spans="3:10" ht="15.75" customHeight="1" x14ac:dyDescent="0.25">
      <c r="C76" s="18"/>
      <c r="D76" s="18"/>
      <c r="I76"/>
      <c r="J76"/>
    </row>
    <row r="77" spans="3:10" ht="15.75" customHeight="1" x14ac:dyDescent="0.25">
      <c r="C77" s="18"/>
      <c r="D77" s="18"/>
      <c r="I77"/>
      <c r="J77"/>
    </row>
    <row r="78" spans="3:10" ht="15.75" customHeight="1" x14ac:dyDescent="0.25">
      <c r="C78" s="18"/>
      <c r="D78" s="18"/>
      <c r="I78"/>
      <c r="J78"/>
    </row>
    <row r="79" spans="3:10" ht="15.75" customHeight="1" x14ac:dyDescent="0.25">
      <c r="C79" s="18"/>
      <c r="D79" s="18"/>
      <c r="I79"/>
      <c r="J79"/>
    </row>
    <row r="80" spans="3:10" ht="15.75" customHeight="1" x14ac:dyDescent="0.25">
      <c r="C80" s="18"/>
      <c r="D80" s="18"/>
      <c r="I80"/>
      <c r="J80"/>
    </row>
    <row r="81" spans="3:10" ht="15.75" customHeight="1" x14ac:dyDescent="0.25">
      <c r="C81" s="18"/>
      <c r="D81" s="18"/>
      <c r="I81"/>
      <c r="J81"/>
    </row>
    <row r="82" spans="3:10" ht="15.75" customHeight="1" x14ac:dyDescent="0.25">
      <c r="C82" s="18"/>
      <c r="D82" s="18"/>
      <c r="I82"/>
      <c r="J82"/>
    </row>
    <row r="83" spans="3:10" ht="15.75" customHeight="1" x14ac:dyDescent="0.25">
      <c r="C83" s="18"/>
      <c r="D83" s="18"/>
      <c r="I83"/>
      <c r="J83"/>
    </row>
    <row r="84" spans="3:10" ht="15.75" customHeight="1" x14ac:dyDescent="0.25">
      <c r="C84" s="18"/>
      <c r="D84" s="18"/>
    </row>
    <row r="85" spans="3:10" ht="15.75" customHeight="1" x14ac:dyDescent="0.25">
      <c r="C85" s="18"/>
      <c r="D85" s="18"/>
    </row>
    <row r="86" spans="3:10" ht="15.75" customHeight="1" x14ac:dyDescent="0.25">
      <c r="C86" s="18"/>
      <c r="D86" s="18"/>
    </row>
    <row r="87" spans="3:10" ht="15.75" customHeight="1" x14ac:dyDescent="0.25">
      <c r="C87" s="18"/>
      <c r="D87" s="18"/>
    </row>
    <row r="88" spans="3:10" ht="15.75" customHeight="1" x14ac:dyDescent="0.25">
      <c r="C88" s="18"/>
      <c r="D88" s="18"/>
    </row>
    <row r="89" spans="3:10" ht="15.75" customHeight="1" x14ac:dyDescent="0.25">
      <c r="C89" s="18"/>
      <c r="D89" s="18"/>
    </row>
    <row r="90" spans="3:10" ht="15.75" customHeight="1" x14ac:dyDescent="0.25">
      <c r="C90" s="18"/>
      <c r="D90" s="18"/>
    </row>
    <row r="91" spans="3:10" ht="15.75" customHeight="1" x14ac:dyDescent="0.25">
      <c r="C91" s="18"/>
      <c r="D91" s="18"/>
    </row>
    <row r="92" spans="3:10" ht="15.75" customHeight="1" x14ac:dyDescent="0.25">
      <c r="C92" s="18"/>
      <c r="D92" s="18"/>
    </row>
    <row r="93" spans="3:10" ht="15.75" customHeight="1" x14ac:dyDescent="0.25">
      <c r="C93" s="18"/>
      <c r="D93" s="18"/>
    </row>
    <row r="94" spans="3:10" ht="15.75" customHeight="1" x14ac:dyDescent="0.25">
      <c r="C94" s="18"/>
      <c r="D94" s="18"/>
    </row>
    <row r="95" spans="3:10" ht="15.75" customHeight="1" x14ac:dyDescent="0.25">
      <c r="C95" s="18"/>
      <c r="D95" s="18"/>
    </row>
    <row r="96" spans="3:10" ht="15.75" customHeight="1" x14ac:dyDescent="0.25">
      <c r="C96" s="18"/>
      <c r="D96" s="18"/>
    </row>
    <row r="97" spans="3:4" ht="15.75" customHeight="1" x14ac:dyDescent="0.25">
      <c r="C97" s="18"/>
      <c r="D97" s="18"/>
    </row>
    <row r="98" spans="3:4" ht="15.75" customHeight="1" x14ac:dyDescent="0.25">
      <c r="C98" s="18"/>
      <c r="D98" s="18"/>
    </row>
    <row r="99" spans="3:4" ht="15.75" customHeight="1" x14ac:dyDescent="0.25">
      <c r="C99" s="18"/>
      <c r="D99" s="18"/>
    </row>
    <row r="100" spans="3:4" ht="15.75" customHeight="1" x14ac:dyDescent="0.25">
      <c r="C100" s="18"/>
      <c r="D100" s="18"/>
    </row>
    <row r="101" spans="3:4" ht="15.75" customHeight="1" x14ac:dyDescent="0.25">
      <c r="C101" s="18"/>
      <c r="D101" s="18"/>
    </row>
    <row r="102" spans="3:4" ht="15.75" customHeight="1" x14ac:dyDescent="0.25">
      <c r="C102" s="18"/>
      <c r="D102" s="18"/>
    </row>
    <row r="103" spans="3:4" ht="15.75" customHeight="1" x14ac:dyDescent="0.25">
      <c r="C103" s="18"/>
      <c r="D103" s="18"/>
    </row>
    <row r="104" spans="3:4" ht="15.75" customHeight="1" x14ac:dyDescent="0.25">
      <c r="C104" s="18"/>
      <c r="D104" s="18"/>
    </row>
    <row r="105" spans="3:4" ht="15.75" customHeight="1" x14ac:dyDescent="0.25">
      <c r="C105" s="18"/>
      <c r="D105" s="18"/>
    </row>
    <row r="106" spans="3:4" ht="15.75" customHeight="1" x14ac:dyDescent="0.25">
      <c r="C106" s="18"/>
      <c r="D106" s="18"/>
    </row>
    <row r="107" spans="3:4" ht="15.75" customHeight="1" x14ac:dyDescent="0.25">
      <c r="C107" s="18"/>
      <c r="D107" s="18"/>
    </row>
    <row r="108" spans="3:4" ht="15.75" customHeight="1" x14ac:dyDescent="0.25">
      <c r="C108" s="18"/>
      <c r="D108" s="18"/>
    </row>
    <row r="109" spans="3:4" ht="15.75" customHeight="1" x14ac:dyDescent="0.25">
      <c r="C109" s="18"/>
      <c r="D109" s="18"/>
    </row>
    <row r="110" spans="3:4" ht="15.75" customHeight="1" x14ac:dyDescent="0.25">
      <c r="C110" s="18"/>
      <c r="D110" s="18"/>
    </row>
    <row r="111" spans="3:4" ht="15.75" customHeight="1" x14ac:dyDescent="0.25">
      <c r="C111" s="18"/>
      <c r="D111" s="18"/>
    </row>
    <row r="112" spans="3:4" ht="15.75" customHeight="1" x14ac:dyDescent="0.25">
      <c r="C112" s="18"/>
      <c r="D112" s="18"/>
    </row>
    <row r="113" spans="3:4" ht="15.75" customHeight="1" x14ac:dyDescent="0.25">
      <c r="C113" s="18"/>
      <c r="D113" s="18"/>
    </row>
    <row r="114" spans="3:4" ht="15.75" customHeight="1" x14ac:dyDescent="0.25">
      <c r="C114" s="18"/>
      <c r="D114" s="18"/>
    </row>
    <row r="115" spans="3:4" ht="15.75" customHeight="1" x14ac:dyDescent="0.25">
      <c r="C115" s="18"/>
      <c r="D115" s="18"/>
    </row>
    <row r="116" spans="3:4" ht="15.75" customHeight="1" x14ac:dyDescent="0.25">
      <c r="C116" s="18"/>
      <c r="D116" s="18"/>
    </row>
    <row r="117" spans="3:4" ht="15.75" customHeight="1" x14ac:dyDescent="0.25">
      <c r="C117" s="18"/>
      <c r="D117" s="18"/>
    </row>
    <row r="118" spans="3:4" ht="15.75" customHeight="1" x14ac:dyDescent="0.25">
      <c r="C118" s="18"/>
      <c r="D118" s="18"/>
    </row>
    <row r="119" spans="3:4" ht="15.75" customHeight="1" x14ac:dyDescent="0.25">
      <c r="C119" s="18"/>
      <c r="D119" s="18"/>
    </row>
    <row r="120" spans="3:4" ht="15.75" customHeight="1" x14ac:dyDescent="0.25">
      <c r="C120" s="18"/>
      <c r="D120" s="18"/>
    </row>
    <row r="121" spans="3:4" ht="15.75" customHeight="1" x14ac:dyDescent="0.25">
      <c r="C121" s="18"/>
      <c r="D121" s="18"/>
    </row>
    <row r="122" spans="3:4" ht="15.75" customHeight="1" x14ac:dyDescent="0.25">
      <c r="C122" s="18"/>
      <c r="D122" s="18"/>
    </row>
    <row r="123" spans="3:4" ht="15.75" customHeight="1" x14ac:dyDescent="0.25">
      <c r="C123" s="18"/>
      <c r="D123" s="18"/>
    </row>
    <row r="124" spans="3:4" ht="15.75" customHeight="1" x14ac:dyDescent="0.25">
      <c r="C124" s="18"/>
      <c r="D124" s="18"/>
    </row>
    <row r="125" spans="3:4" ht="15.75" customHeight="1" x14ac:dyDescent="0.25">
      <c r="C125" s="18"/>
      <c r="D125" s="18"/>
    </row>
    <row r="126" spans="3:4" ht="15.75" customHeight="1" x14ac:dyDescent="0.25">
      <c r="C126" s="18"/>
      <c r="D126" s="18"/>
    </row>
    <row r="127" spans="3:4" ht="15.75" customHeight="1" x14ac:dyDescent="0.25">
      <c r="C127" s="18"/>
      <c r="D127" s="18"/>
    </row>
    <row r="128" spans="3:4" ht="15.75" customHeight="1" x14ac:dyDescent="0.25">
      <c r="C128" s="18"/>
      <c r="D128" s="18"/>
    </row>
    <row r="129" spans="3:4" ht="15.75" customHeight="1" x14ac:dyDescent="0.25">
      <c r="C129" s="18"/>
      <c r="D129" s="18"/>
    </row>
    <row r="130" spans="3:4" ht="15.75" customHeight="1" x14ac:dyDescent="0.25">
      <c r="C130" s="18"/>
      <c r="D130" s="18"/>
    </row>
    <row r="131" spans="3:4" ht="15.75" customHeight="1" x14ac:dyDescent="0.25">
      <c r="C131" s="18"/>
      <c r="D131" s="18"/>
    </row>
    <row r="132" spans="3:4" ht="15.75" customHeight="1" x14ac:dyDescent="0.25">
      <c r="C132" s="18"/>
      <c r="D132" s="18"/>
    </row>
    <row r="133" spans="3:4" ht="15.75" customHeight="1" x14ac:dyDescent="0.25">
      <c r="C133" s="18"/>
      <c r="D133" s="18"/>
    </row>
    <row r="134" spans="3:4" ht="15.75" customHeight="1" x14ac:dyDescent="0.25">
      <c r="C134" s="18"/>
      <c r="D134" s="18"/>
    </row>
    <row r="135" spans="3:4" ht="15.75" customHeight="1" x14ac:dyDescent="0.25">
      <c r="C135" s="18"/>
      <c r="D135" s="18"/>
    </row>
    <row r="136" spans="3:4" ht="15.75" customHeight="1" x14ac:dyDescent="0.25">
      <c r="C136" s="18"/>
      <c r="D136" s="18"/>
    </row>
    <row r="137" spans="3:4" ht="15.75" customHeight="1" x14ac:dyDescent="0.25">
      <c r="C137" s="18"/>
      <c r="D137" s="18"/>
    </row>
    <row r="138" spans="3:4" ht="15.75" customHeight="1" x14ac:dyDescent="0.25">
      <c r="C138" s="18"/>
      <c r="D138" s="18"/>
    </row>
    <row r="139" spans="3:4" ht="15.75" customHeight="1" x14ac:dyDescent="0.25">
      <c r="C139" s="18"/>
      <c r="D139" s="18"/>
    </row>
    <row r="140" spans="3:4" ht="15.75" customHeight="1" x14ac:dyDescent="0.25">
      <c r="C140" s="18"/>
      <c r="D140" s="18"/>
    </row>
    <row r="141" spans="3:4" ht="15.75" customHeight="1" x14ac:dyDescent="0.25">
      <c r="C141" s="18"/>
      <c r="D141" s="18"/>
    </row>
    <row r="142" spans="3:4" ht="15.75" customHeight="1" x14ac:dyDescent="0.25">
      <c r="C142" s="18"/>
      <c r="D142" s="18"/>
    </row>
    <row r="143" spans="3:4" ht="15.75" customHeight="1" x14ac:dyDescent="0.25">
      <c r="C143" s="18"/>
      <c r="D143" s="18"/>
    </row>
    <row r="144" spans="3:4" ht="15.75" customHeight="1" x14ac:dyDescent="0.25">
      <c r="C144" s="18"/>
      <c r="D144" s="18"/>
    </row>
    <row r="145" spans="3:4" ht="15.75" customHeight="1" x14ac:dyDescent="0.25">
      <c r="C145" s="18"/>
      <c r="D145" s="18"/>
    </row>
    <row r="146" spans="3:4" ht="15.75" customHeight="1" x14ac:dyDescent="0.25">
      <c r="C146" s="18"/>
      <c r="D146" s="18"/>
    </row>
    <row r="147" spans="3:4" ht="15.75" customHeight="1" x14ac:dyDescent="0.25">
      <c r="C147" s="18"/>
      <c r="D147" s="18"/>
    </row>
    <row r="148" spans="3:4" ht="15.75" customHeight="1" x14ac:dyDescent="0.25">
      <c r="C148" s="18"/>
      <c r="D148" s="18"/>
    </row>
    <row r="149" spans="3:4" ht="15.75" customHeight="1" x14ac:dyDescent="0.25">
      <c r="C149" s="18"/>
      <c r="D149" s="18"/>
    </row>
    <row r="150" spans="3:4" ht="15.75" customHeight="1" x14ac:dyDescent="0.25">
      <c r="C150" s="18"/>
      <c r="D150" s="18"/>
    </row>
    <row r="151" spans="3:4" ht="15.75" customHeight="1" x14ac:dyDescent="0.25">
      <c r="C151" s="18"/>
      <c r="D151" s="18"/>
    </row>
    <row r="152" spans="3:4" ht="15.75" customHeight="1" x14ac:dyDescent="0.25">
      <c r="C152" s="18"/>
      <c r="D152" s="18"/>
    </row>
    <row r="153" spans="3:4" ht="15.75" customHeight="1" x14ac:dyDescent="0.25">
      <c r="C153" s="18"/>
      <c r="D153" s="18"/>
    </row>
    <row r="154" spans="3:4" ht="15.75" customHeight="1" x14ac:dyDescent="0.25">
      <c r="C154" s="18"/>
      <c r="D154" s="18"/>
    </row>
    <row r="155" spans="3:4" ht="15.75" customHeight="1" x14ac:dyDescent="0.25">
      <c r="C155" s="18"/>
      <c r="D155" s="18"/>
    </row>
    <row r="156" spans="3:4" ht="15.75" customHeight="1" x14ac:dyDescent="0.25">
      <c r="C156" s="18"/>
      <c r="D156" s="18"/>
    </row>
    <row r="157" spans="3:4" ht="15.75" customHeight="1" x14ac:dyDescent="0.25">
      <c r="C157" s="18"/>
      <c r="D157" s="18"/>
    </row>
    <row r="158" spans="3:4" ht="15.75" customHeight="1" x14ac:dyDescent="0.25">
      <c r="C158" s="18"/>
      <c r="D158" s="18"/>
    </row>
    <row r="159" spans="3:4" ht="15.75" customHeight="1" x14ac:dyDescent="0.25">
      <c r="C159" s="18"/>
      <c r="D159" s="18"/>
    </row>
    <row r="160" spans="3:4" ht="15.75" customHeight="1" x14ac:dyDescent="0.25">
      <c r="C160" s="18"/>
      <c r="D160" s="18"/>
    </row>
    <row r="161" spans="3:4" ht="15.75" customHeight="1" x14ac:dyDescent="0.25">
      <c r="C161" s="18"/>
      <c r="D161" s="18"/>
    </row>
    <row r="162" spans="3:4" ht="15.75" customHeight="1" x14ac:dyDescent="0.25">
      <c r="C162" s="18"/>
      <c r="D162" s="18"/>
    </row>
    <row r="163" spans="3:4" ht="15.75" customHeight="1" x14ac:dyDescent="0.25">
      <c r="C163" s="18"/>
      <c r="D163" s="18"/>
    </row>
    <row r="164" spans="3:4" ht="15.75" customHeight="1" x14ac:dyDescent="0.25">
      <c r="C164" s="18"/>
      <c r="D164" s="18"/>
    </row>
    <row r="165" spans="3:4" ht="15.75" customHeight="1" x14ac:dyDescent="0.25">
      <c r="C165" s="18"/>
      <c r="D165" s="18"/>
    </row>
    <row r="166" spans="3:4" ht="15.75" customHeight="1" x14ac:dyDescent="0.25">
      <c r="C166" s="18"/>
      <c r="D166" s="18"/>
    </row>
    <row r="167" spans="3:4" ht="15.75" customHeight="1" x14ac:dyDescent="0.25">
      <c r="C167" s="18"/>
      <c r="D167" s="18"/>
    </row>
    <row r="168" spans="3:4" ht="15.75" customHeight="1" x14ac:dyDescent="0.25">
      <c r="C168" s="18"/>
      <c r="D168" s="18"/>
    </row>
    <row r="169" spans="3:4" ht="15.75" customHeight="1" x14ac:dyDescent="0.25">
      <c r="C169" s="18"/>
      <c r="D169" s="18"/>
    </row>
    <row r="170" spans="3:4" ht="15.75" customHeight="1" x14ac:dyDescent="0.25">
      <c r="C170" s="18"/>
      <c r="D170" s="18"/>
    </row>
    <row r="171" spans="3:4" ht="15.75" customHeight="1" x14ac:dyDescent="0.25">
      <c r="C171" s="18"/>
      <c r="D171" s="18"/>
    </row>
    <row r="172" spans="3:4" ht="15.75" customHeight="1" x14ac:dyDescent="0.25">
      <c r="C172" s="18"/>
      <c r="D172" s="18"/>
    </row>
    <row r="173" spans="3:4" ht="15.75" customHeight="1" x14ac:dyDescent="0.25">
      <c r="C173" s="18"/>
      <c r="D173" s="18"/>
    </row>
    <row r="174" spans="3:4" ht="15.75" customHeight="1" x14ac:dyDescent="0.25">
      <c r="C174" s="18"/>
      <c r="D174" s="18"/>
    </row>
    <row r="175" spans="3:4" ht="15.75" customHeight="1" x14ac:dyDescent="0.25">
      <c r="C175" s="18"/>
      <c r="D175" s="18"/>
    </row>
    <row r="176" spans="3:4" ht="15.75" customHeight="1" x14ac:dyDescent="0.25">
      <c r="C176" s="18"/>
      <c r="D176" s="18"/>
    </row>
    <row r="177" spans="3:4" ht="15.75" customHeight="1" x14ac:dyDescent="0.25">
      <c r="C177" s="18"/>
      <c r="D177" s="18"/>
    </row>
    <row r="178" spans="3:4" ht="15.75" customHeight="1" x14ac:dyDescent="0.25">
      <c r="C178" s="18"/>
      <c r="D178" s="18"/>
    </row>
    <row r="179" spans="3:4" ht="15.75" customHeight="1" x14ac:dyDescent="0.25">
      <c r="C179" s="18"/>
      <c r="D179" s="18"/>
    </row>
    <row r="180" spans="3:4" ht="15.75" customHeight="1" x14ac:dyDescent="0.25">
      <c r="C180" s="18"/>
      <c r="D180" s="18"/>
    </row>
    <row r="181" spans="3:4" ht="15.75" customHeight="1" x14ac:dyDescent="0.25">
      <c r="C181" s="18"/>
      <c r="D181" s="18"/>
    </row>
    <row r="182" spans="3:4" ht="15.75" customHeight="1" x14ac:dyDescent="0.25">
      <c r="C182" s="18"/>
      <c r="D182" s="18"/>
    </row>
    <row r="183" spans="3:4" ht="15.75" customHeight="1" x14ac:dyDescent="0.25">
      <c r="C183" s="18"/>
      <c r="D183" s="18"/>
    </row>
    <row r="184" spans="3:4" ht="15.75" customHeight="1" x14ac:dyDescent="0.25">
      <c r="C184" s="18"/>
      <c r="D184" s="18"/>
    </row>
    <row r="185" spans="3:4" ht="15.75" customHeight="1" x14ac:dyDescent="0.25">
      <c r="C185" s="18"/>
      <c r="D185" s="18"/>
    </row>
    <row r="186" spans="3:4" ht="15.75" customHeight="1" x14ac:dyDescent="0.25">
      <c r="C186" s="18"/>
      <c r="D186" s="18"/>
    </row>
    <row r="187" spans="3:4" ht="15.75" customHeight="1" x14ac:dyDescent="0.25">
      <c r="C187" s="18"/>
      <c r="D187" s="18"/>
    </row>
    <row r="188" spans="3:4" ht="15.75" customHeight="1" x14ac:dyDescent="0.25">
      <c r="C188" s="18"/>
      <c r="D188" s="18"/>
    </row>
    <row r="189" spans="3:4" ht="15.75" customHeight="1" x14ac:dyDescent="0.25">
      <c r="C189" s="18"/>
      <c r="D189" s="18"/>
    </row>
    <row r="190" spans="3:4" ht="15.75" customHeight="1" x14ac:dyDescent="0.25">
      <c r="C190" s="18"/>
      <c r="D190" s="18"/>
    </row>
    <row r="191" spans="3:4" ht="15.75" customHeight="1" x14ac:dyDescent="0.25">
      <c r="C191" s="18"/>
      <c r="D191" s="18"/>
    </row>
    <row r="192" spans="3:4" ht="15.75" customHeight="1" x14ac:dyDescent="0.25">
      <c r="C192" s="18"/>
      <c r="D192" s="18"/>
    </row>
    <row r="193" spans="3:4" ht="15.75" customHeight="1" x14ac:dyDescent="0.25">
      <c r="C193" s="18"/>
      <c r="D193" s="18"/>
    </row>
    <row r="194" spans="3:4" ht="15.75" customHeight="1" x14ac:dyDescent="0.25">
      <c r="C194" s="18"/>
      <c r="D194" s="18"/>
    </row>
    <row r="195" spans="3:4" ht="15.75" customHeight="1" x14ac:dyDescent="0.25">
      <c r="C195" s="18"/>
      <c r="D195" s="18"/>
    </row>
    <row r="196" spans="3:4" ht="15.75" customHeight="1" x14ac:dyDescent="0.25">
      <c r="C196" s="18"/>
      <c r="D196" s="18"/>
    </row>
    <row r="197" spans="3:4" ht="15.75" customHeight="1" x14ac:dyDescent="0.25">
      <c r="C197" s="18"/>
      <c r="D197" s="18"/>
    </row>
    <row r="198" spans="3:4" ht="15.75" customHeight="1" x14ac:dyDescent="0.25">
      <c r="C198" s="18"/>
      <c r="D198" s="18"/>
    </row>
    <row r="199" spans="3:4" ht="15.75" customHeight="1" x14ac:dyDescent="0.25">
      <c r="C199" s="18"/>
      <c r="D199" s="18"/>
    </row>
    <row r="200" spans="3:4" ht="15.75" customHeight="1" x14ac:dyDescent="0.25">
      <c r="C200" s="18"/>
      <c r="D200" s="18"/>
    </row>
    <row r="201" spans="3:4" ht="15.75" customHeight="1" x14ac:dyDescent="0.25">
      <c r="C201" s="18"/>
      <c r="D201" s="18"/>
    </row>
    <row r="202" spans="3:4" ht="15.75" customHeight="1" x14ac:dyDescent="0.25">
      <c r="C202" s="18"/>
      <c r="D202" s="18"/>
    </row>
    <row r="203" spans="3:4" ht="15.75" customHeight="1" x14ac:dyDescent="0.25">
      <c r="C203" s="18"/>
      <c r="D203" s="18"/>
    </row>
    <row r="204" spans="3:4" ht="15.75" customHeight="1" x14ac:dyDescent="0.25">
      <c r="C204" s="18"/>
      <c r="D204" s="18"/>
    </row>
    <row r="205" spans="3:4" ht="15.75" customHeight="1" x14ac:dyDescent="0.25">
      <c r="C205" s="18"/>
      <c r="D205" s="18"/>
    </row>
    <row r="206" spans="3:4" ht="15.75" customHeight="1" x14ac:dyDescent="0.25">
      <c r="C206" s="18"/>
      <c r="D206" s="18"/>
    </row>
    <row r="207" spans="3:4" ht="15.75" customHeight="1" x14ac:dyDescent="0.25">
      <c r="C207" s="18"/>
      <c r="D207" s="18"/>
    </row>
    <row r="208" spans="3:4" ht="15.75" customHeight="1" x14ac:dyDescent="0.25">
      <c r="C208" s="18"/>
      <c r="D208" s="18"/>
    </row>
    <row r="209" spans="3:4" ht="15.75" customHeight="1" x14ac:dyDescent="0.25">
      <c r="C209" s="18"/>
      <c r="D209" s="18"/>
    </row>
    <row r="210" spans="3:4" ht="15.75" customHeight="1" x14ac:dyDescent="0.25">
      <c r="C210" s="18"/>
      <c r="D210" s="18"/>
    </row>
    <row r="211" spans="3:4" ht="15.75" customHeight="1" x14ac:dyDescent="0.25">
      <c r="C211" s="18"/>
      <c r="D211" s="18"/>
    </row>
    <row r="212" spans="3:4" ht="15.75" customHeight="1" x14ac:dyDescent="0.25">
      <c r="C212" s="18"/>
      <c r="D212" s="18"/>
    </row>
    <row r="213" spans="3:4" ht="15.75" customHeight="1" x14ac:dyDescent="0.25">
      <c r="C213" s="18"/>
      <c r="D213" s="18"/>
    </row>
    <row r="214" spans="3:4" ht="15.75" customHeight="1" x14ac:dyDescent="0.25">
      <c r="C214" s="18"/>
      <c r="D214" s="18"/>
    </row>
    <row r="215" spans="3:4" ht="15.75" customHeight="1" x14ac:dyDescent="0.25">
      <c r="C215" s="18"/>
      <c r="D215" s="18"/>
    </row>
    <row r="216" spans="3:4" ht="15.75" customHeight="1" x14ac:dyDescent="0.25">
      <c r="C216" s="18"/>
      <c r="D216" s="18"/>
    </row>
    <row r="217" spans="3:4" ht="15.75" customHeight="1" x14ac:dyDescent="0.25">
      <c r="C217" s="18"/>
      <c r="D217" s="18"/>
    </row>
    <row r="218" spans="3:4" ht="15.75" customHeight="1" x14ac:dyDescent="0.25">
      <c r="C218" s="18"/>
      <c r="D218" s="18"/>
    </row>
    <row r="219" spans="3:4" ht="15.75" customHeight="1" x14ac:dyDescent="0.25">
      <c r="C219" s="18"/>
      <c r="D219" s="18"/>
    </row>
    <row r="220" spans="3:4" ht="15.75" customHeight="1" x14ac:dyDescent="0.25">
      <c r="C220" s="18"/>
      <c r="D220" s="18"/>
    </row>
    <row r="221" spans="3:4" ht="15.75" customHeight="1" x14ac:dyDescent="0.25">
      <c r="C221" s="18"/>
      <c r="D221" s="18"/>
    </row>
    <row r="222" spans="3:4" ht="15.75" customHeight="1" x14ac:dyDescent="0.25">
      <c r="C222" s="18"/>
      <c r="D222" s="18"/>
    </row>
    <row r="223" spans="3:4" ht="15.75" customHeight="1" x14ac:dyDescent="0.25">
      <c r="C223" s="18"/>
      <c r="D223" s="18"/>
    </row>
    <row r="224" spans="3:4" ht="15.75" customHeight="1" x14ac:dyDescent="0.25">
      <c r="C224" s="18"/>
      <c r="D224" s="18"/>
    </row>
    <row r="225" spans="3:4" ht="15.75" customHeight="1" x14ac:dyDescent="0.25">
      <c r="C225" s="18"/>
      <c r="D225" s="18"/>
    </row>
    <row r="226" spans="3:4" ht="15.75" customHeight="1" x14ac:dyDescent="0.25">
      <c r="C226" s="18"/>
      <c r="D226" s="18"/>
    </row>
    <row r="227" spans="3:4" ht="15.75" customHeight="1" x14ac:dyDescent="0.25">
      <c r="C227" s="18"/>
      <c r="D227" s="18"/>
    </row>
    <row r="228" spans="3:4" ht="15.75" customHeight="1" x14ac:dyDescent="0.25">
      <c r="C228" s="18"/>
      <c r="D228" s="18"/>
    </row>
    <row r="229" spans="3:4" ht="15.75" customHeight="1" x14ac:dyDescent="0.25">
      <c r="C229" s="18"/>
      <c r="D229" s="18"/>
    </row>
    <row r="230" spans="3:4" ht="15.75" customHeight="1" x14ac:dyDescent="0.25">
      <c r="C230" s="18"/>
      <c r="D230" s="18"/>
    </row>
    <row r="231" spans="3:4" ht="15.75" customHeight="1" x14ac:dyDescent="0.25">
      <c r="C231" s="18"/>
      <c r="D231" s="18"/>
    </row>
    <row r="232" spans="3:4" ht="15.75" customHeight="1" x14ac:dyDescent="0.25">
      <c r="C232" s="18"/>
      <c r="D232" s="18"/>
    </row>
    <row r="233" spans="3:4" ht="15.75" customHeight="1" x14ac:dyDescent="0.25">
      <c r="C233" s="18"/>
      <c r="D233" s="18"/>
    </row>
    <row r="234" spans="3:4" ht="15.75" customHeight="1" x14ac:dyDescent="0.25">
      <c r="C234" s="18"/>
      <c r="D234" s="18"/>
    </row>
    <row r="235" spans="3:4" ht="15.75" customHeight="1" x14ac:dyDescent="0.25">
      <c r="C235" s="18"/>
      <c r="D235" s="18"/>
    </row>
    <row r="236" spans="3:4" ht="15.75" customHeight="1" x14ac:dyDescent="0.25">
      <c r="C236" s="18"/>
      <c r="D236" s="18"/>
    </row>
    <row r="237" spans="3:4" ht="15.75" customHeight="1" x14ac:dyDescent="0.25">
      <c r="C237" s="18"/>
      <c r="D237" s="18"/>
    </row>
    <row r="238" spans="3:4" ht="15.75" customHeight="1" x14ac:dyDescent="0.25">
      <c r="C238" s="18"/>
      <c r="D238" s="18"/>
    </row>
    <row r="239" spans="3:4" ht="15.75" customHeight="1" x14ac:dyDescent="0.25">
      <c r="C239" s="18"/>
      <c r="D239" s="18"/>
    </row>
    <row r="240" spans="3:4" ht="15.75" customHeight="1" x14ac:dyDescent="0.25">
      <c r="C240" s="18"/>
      <c r="D240" s="18"/>
    </row>
    <row r="241" spans="3:4" ht="15.75" customHeight="1" x14ac:dyDescent="0.25">
      <c r="C241" s="18"/>
      <c r="D241" s="18"/>
    </row>
    <row r="242" spans="3:4" ht="15.75" customHeight="1" x14ac:dyDescent="0.25">
      <c r="C242" s="18"/>
      <c r="D242" s="18"/>
    </row>
    <row r="243" spans="3:4" ht="15.75" customHeight="1" x14ac:dyDescent="0.25">
      <c r="C243" s="18"/>
      <c r="D243" s="18"/>
    </row>
    <row r="244" spans="3:4" ht="15.75" customHeight="1" x14ac:dyDescent="0.25">
      <c r="C244" s="18"/>
      <c r="D244" s="18"/>
    </row>
    <row r="245" spans="3:4" ht="15.75" customHeight="1" x14ac:dyDescent="0.25">
      <c r="C245" s="18"/>
      <c r="D245" s="18"/>
    </row>
    <row r="246" spans="3:4" ht="15.75" customHeight="1" x14ac:dyDescent="0.25">
      <c r="C246" s="18"/>
      <c r="D246" s="18"/>
    </row>
    <row r="247" spans="3:4" ht="15.75" customHeight="1" x14ac:dyDescent="0.25">
      <c r="C247" s="18"/>
      <c r="D247" s="18"/>
    </row>
    <row r="248" spans="3:4" ht="15.75" customHeight="1" x14ac:dyDescent="0.25">
      <c r="C248" s="18"/>
      <c r="D248" s="18"/>
    </row>
    <row r="249" spans="3:4" ht="15.75" customHeight="1" x14ac:dyDescent="0.25">
      <c r="C249" s="18"/>
      <c r="D249" s="18"/>
    </row>
    <row r="250" spans="3:4" ht="15.75" customHeight="1" x14ac:dyDescent="0.25">
      <c r="C250" s="18"/>
      <c r="D250" s="18"/>
    </row>
    <row r="251" spans="3:4" ht="15.75" customHeight="1" x14ac:dyDescent="0.25">
      <c r="C251" s="18"/>
      <c r="D251" s="18"/>
    </row>
    <row r="252" spans="3:4" ht="15.75" customHeight="1" x14ac:dyDescent="0.25">
      <c r="C252" s="18"/>
      <c r="D252" s="18"/>
    </row>
    <row r="253" spans="3:4" ht="15.75" customHeight="1" x14ac:dyDescent="0.25">
      <c r="C253" s="18"/>
      <c r="D253" s="18"/>
    </row>
    <row r="254" spans="3:4" ht="15.75" customHeight="1" x14ac:dyDescent="0.25">
      <c r="C254" s="18"/>
      <c r="D254" s="18"/>
    </row>
    <row r="255" spans="3:4" ht="15.75" customHeight="1" x14ac:dyDescent="0.25">
      <c r="C255" s="18"/>
      <c r="D255" s="18"/>
    </row>
    <row r="256" spans="3:4" ht="15.75" customHeight="1" x14ac:dyDescent="0.25">
      <c r="C256" s="18"/>
      <c r="D256" s="18"/>
    </row>
    <row r="257" spans="3:4" ht="15.75" customHeight="1" x14ac:dyDescent="0.25">
      <c r="C257" s="18"/>
      <c r="D257" s="18"/>
    </row>
    <row r="258" spans="3:4" ht="15.75" customHeight="1" x14ac:dyDescent="0.25">
      <c r="C258" s="18"/>
      <c r="D258" s="18"/>
    </row>
    <row r="259" spans="3:4" ht="15.75" customHeight="1" x14ac:dyDescent="0.25">
      <c r="C259" s="18"/>
      <c r="D259" s="18"/>
    </row>
    <row r="260" spans="3:4" ht="15.75" customHeight="1" x14ac:dyDescent="0.25">
      <c r="C260" s="18"/>
      <c r="D260" s="18"/>
    </row>
    <row r="261" spans="3:4" ht="15.75" customHeight="1" x14ac:dyDescent="0.25">
      <c r="C261" s="18"/>
      <c r="D261" s="18"/>
    </row>
    <row r="262" spans="3:4" ht="15.75" customHeight="1" x14ac:dyDescent="0.25">
      <c r="C262" s="18"/>
      <c r="D262" s="18"/>
    </row>
    <row r="263" spans="3:4" ht="15.75" customHeight="1" x14ac:dyDescent="0.25">
      <c r="C263" s="18"/>
      <c r="D263" s="18"/>
    </row>
    <row r="264" spans="3:4" ht="15.75" customHeight="1" x14ac:dyDescent="0.25">
      <c r="C264" s="18"/>
      <c r="D264" s="18"/>
    </row>
    <row r="265" spans="3:4" ht="15.75" customHeight="1" x14ac:dyDescent="0.25">
      <c r="C265" s="18"/>
      <c r="D265" s="18"/>
    </row>
    <row r="266" spans="3:4" ht="15.75" customHeight="1" x14ac:dyDescent="0.25">
      <c r="C266" s="18"/>
      <c r="D266" s="18"/>
    </row>
    <row r="267" spans="3:4" ht="15.75" customHeight="1" x14ac:dyDescent="0.25">
      <c r="C267" s="18"/>
      <c r="D267" s="18"/>
    </row>
    <row r="268" spans="3:4" ht="15.75" customHeight="1" x14ac:dyDescent="0.25">
      <c r="C268" s="18"/>
      <c r="D268" s="18"/>
    </row>
    <row r="269" spans="3:4" ht="15.75" customHeight="1" x14ac:dyDescent="0.25">
      <c r="C269" s="18"/>
      <c r="D269" s="18"/>
    </row>
    <row r="270" spans="3:4" ht="15.75" customHeight="1" x14ac:dyDescent="0.25">
      <c r="C270" s="18"/>
      <c r="D270" s="18"/>
    </row>
    <row r="271" spans="3:4" ht="15.75" customHeight="1" x14ac:dyDescent="0.25">
      <c r="C271" s="18"/>
      <c r="D271" s="18"/>
    </row>
    <row r="272" spans="3:4" ht="15.75" customHeight="1" x14ac:dyDescent="0.25">
      <c r="C272" s="18"/>
      <c r="D272" s="18"/>
    </row>
    <row r="273" spans="3:4" ht="15.75" customHeight="1" x14ac:dyDescent="0.25">
      <c r="C273" s="18"/>
      <c r="D273" s="18"/>
    </row>
    <row r="274" spans="3:4" ht="15.75" customHeight="1" x14ac:dyDescent="0.25">
      <c r="C274" s="18"/>
      <c r="D274" s="18"/>
    </row>
    <row r="275" spans="3:4" ht="15.75" customHeight="1" x14ac:dyDescent="0.25">
      <c r="C275" s="18"/>
      <c r="D275" s="18"/>
    </row>
    <row r="276" spans="3:4" ht="15.75" customHeight="1" x14ac:dyDescent="0.25">
      <c r="C276" s="18"/>
      <c r="D276" s="18"/>
    </row>
    <row r="277" spans="3:4" ht="15.75" customHeight="1" x14ac:dyDescent="0.25">
      <c r="C277" s="18"/>
      <c r="D277" s="18"/>
    </row>
    <row r="278" spans="3:4" ht="15.75" customHeight="1" x14ac:dyDescent="0.25">
      <c r="C278" s="18"/>
      <c r="D278" s="18"/>
    </row>
    <row r="279" spans="3:4" ht="15.75" customHeight="1" x14ac:dyDescent="0.25">
      <c r="C279" s="18"/>
      <c r="D279" s="18"/>
    </row>
    <row r="280" spans="3:4" ht="15.75" customHeight="1" x14ac:dyDescent="0.25">
      <c r="C280" s="18"/>
      <c r="D280" s="18"/>
    </row>
    <row r="281" spans="3:4" ht="15.75" customHeight="1" x14ac:dyDescent="0.25">
      <c r="C281" s="18"/>
      <c r="D281" s="18"/>
    </row>
    <row r="282" spans="3:4" ht="15.75" customHeight="1" x14ac:dyDescent="0.25">
      <c r="C282" s="18"/>
      <c r="D282" s="18"/>
    </row>
    <row r="283" spans="3:4" ht="15.75" customHeight="1" x14ac:dyDescent="0.25">
      <c r="C283" s="18"/>
      <c r="D283" s="18"/>
    </row>
    <row r="284" spans="3:4" ht="15.75" customHeight="1" x14ac:dyDescent="0.25">
      <c r="C284" s="18"/>
      <c r="D284" s="18"/>
    </row>
    <row r="285" spans="3:4" ht="15.75" customHeight="1" x14ac:dyDescent="0.25">
      <c r="C285" s="18"/>
      <c r="D285" s="18"/>
    </row>
    <row r="286" spans="3:4" ht="15.75" customHeight="1" x14ac:dyDescent="0.25">
      <c r="C286" s="18"/>
      <c r="D286" s="18"/>
    </row>
    <row r="287" spans="3:4" ht="15.75" customHeight="1" x14ac:dyDescent="0.25">
      <c r="C287" s="18"/>
      <c r="D287" s="18"/>
    </row>
    <row r="288" spans="3:4" ht="15.75" customHeight="1" x14ac:dyDescent="0.25">
      <c r="C288" s="18"/>
      <c r="D288" s="18"/>
    </row>
    <row r="289" spans="3:4" ht="15.75" customHeight="1" x14ac:dyDescent="0.25">
      <c r="C289" s="18"/>
      <c r="D289" s="18"/>
    </row>
    <row r="290" spans="3:4" ht="15.75" customHeight="1" x14ac:dyDescent="0.25">
      <c r="C290" s="18"/>
      <c r="D290" s="18"/>
    </row>
    <row r="291" spans="3:4" ht="15.75" customHeight="1" x14ac:dyDescent="0.25">
      <c r="C291" s="18"/>
      <c r="D291" s="18"/>
    </row>
    <row r="292" spans="3:4" ht="15.75" customHeight="1" x14ac:dyDescent="0.25">
      <c r="C292" s="18"/>
      <c r="D292" s="18"/>
    </row>
    <row r="293" spans="3:4" ht="15.75" customHeight="1" x14ac:dyDescent="0.25">
      <c r="C293" s="18"/>
      <c r="D293" s="18"/>
    </row>
    <row r="294" spans="3:4" ht="15.75" customHeight="1" x14ac:dyDescent="0.25">
      <c r="C294" s="18"/>
      <c r="D294" s="18"/>
    </row>
    <row r="295" spans="3:4" ht="15.75" customHeight="1" x14ac:dyDescent="0.25">
      <c r="C295" s="18"/>
      <c r="D295" s="18"/>
    </row>
    <row r="296" spans="3:4" ht="15.75" customHeight="1" x14ac:dyDescent="0.25">
      <c r="C296" s="18"/>
      <c r="D296" s="18"/>
    </row>
    <row r="297" spans="3:4" ht="15.75" customHeight="1" x14ac:dyDescent="0.25">
      <c r="C297" s="18"/>
      <c r="D297" s="18"/>
    </row>
    <row r="298" spans="3:4" ht="15.75" customHeight="1" x14ac:dyDescent="0.25">
      <c r="C298" s="18"/>
      <c r="D298" s="18"/>
    </row>
    <row r="299" spans="3:4" ht="15.75" customHeight="1" x14ac:dyDescent="0.25">
      <c r="C299" s="18"/>
      <c r="D299" s="18"/>
    </row>
    <row r="300" spans="3:4" ht="15.75" customHeight="1" x14ac:dyDescent="0.25">
      <c r="C300" s="18"/>
      <c r="D300" s="18"/>
    </row>
    <row r="301" spans="3:4" ht="15.75" customHeight="1" x14ac:dyDescent="0.25">
      <c r="C301" s="18"/>
      <c r="D301" s="18"/>
    </row>
    <row r="302" spans="3:4" ht="15.75" customHeight="1" x14ac:dyDescent="0.25">
      <c r="C302" s="18"/>
      <c r="D302" s="18"/>
    </row>
    <row r="303" spans="3:4" ht="15.75" customHeight="1" x14ac:dyDescent="0.25">
      <c r="C303" s="18"/>
      <c r="D303" s="18"/>
    </row>
    <row r="304" spans="3:4" ht="15.75" customHeight="1" x14ac:dyDescent="0.25">
      <c r="C304" s="18"/>
      <c r="D304" s="18"/>
    </row>
    <row r="305" spans="3:4" ht="15.75" customHeight="1" x14ac:dyDescent="0.25">
      <c r="C305" s="18"/>
      <c r="D305" s="18"/>
    </row>
    <row r="306" spans="3:4" ht="15.75" customHeight="1" x14ac:dyDescent="0.25">
      <c r="C306" s="18"/>
      <c r="D306" s="18"/>
    </row>
    <row r="307" spans="3:4" ht="15.75" customHeight="1" x14ac:dyDescent="0.25">
      <c r="C307" s="18"/>
      <c r="D307" s="18"/>
    </row>
    <row r="308" spans="3:4" ht="15.75" customHeight="1" x14ac:dyDescent="0.25">
      <c r="C308" s="18"/>
      <c r="D308" s="18"/>
    </row>
    <row r="309" spans="3:4" ht="15.75" customHeight="1" x14ac:dyDescent="0.25">
      <c r="C309" s="18"/>
      <c r="D309" s="18"/>
    </row>
    <row r="310" spans="3:4" ht="15.75" customHeight="1" x14ac:dyDescent="0.25">
      <c r="C310" s="18"/>
      <c r="D310" s="18"/>
    </row>
    <row r="311" spans="3:4" ht="15.75" customHeight="1" x14ac:dyDescent="0.25">
      <c r="C311" s="18"/>
      <c r="D311" s="18"/>
    </row>
    <row r="312" spans="3:4" ht="15.75" customHeight="1" x14ac:dyDescent="0.25">
      <c r="C312" s="18"/>
      <c r="D312" s="18"/>
    </row>
    <row r="313" spans="3:4" ht="15.75" customHeight="1" x14ac:dyDescent="0.25">
      <c r="C313" s="18"/>
      <c r="D313" s="18"/>
    </row>
    <row r="314" spans="3:4" ht="15.75" customHeight="1" x14ac:dyDescent="0.25">
      <c r="C314" s="18"/>
      <c r="D314" s="18"/>
    </row>
    <row r="315" spans="3:4" ht="15.75" customHeight="1" x14ac:dyDescent="0.25">
      <c r="C315" s="18"/>
      <c r="D315" s="18"/>
    </row>
    <row r="316" spans="3:4" ht="15.75" customHeight="1" x14ac:dyDescent="0.25">
      <c r="C316" s="18"/>
      <c r="D316" s="18"/>
    </row>
    <row r="317" spans="3:4" ht="15.75" customHeight="1" x14ac:dyDescent="0.25">
      <c r="C317" s="18"/>
      <c r="D317" s="18"/>
    </row>
    <row r="318" spans="3:4" ht="15.75" customHeight="1" x14ac:dyDescent="0.25">
      <c r="C318" s="18"/>
      <c r="D318" s="18"/>
    </row>
    <row r="319" spans="3:4" ht="15.75" customHeight="1" x14ac:dyDescent="0.25">
      <c r="C319" s="18"/>
      <c r="D319" s="18"/>
    </row>
    <row r="320" spans="3:4" ht="15.75" customHeight="1" x14ac:dyDescent="0.25">
      <c r="C320" s="18"/>
      <c r="D320" s="18"/>
    </row>
    <row r="321" spans="3:4" ht="15.75" customHeight="1" x14ac:dyDescent="0.25">
      <c r="C321" s="18"/>
      <c r="D321" s="18"/>
    </row>
    <row r="322" spans="3:4" ht="15.75" customHeight="1" x14ac:dyDescent="0.25">
      <c r="C322" s="18"/>
      <c r="D322" s="18"/>
    </row>
    <row r="323" spans="3:4" ht="15.75" customHeight="1" x14ac:dyDescent="0.25">
      <c r="C323" s="18"/>
      <c r="D323" s="18"/>
    </row>
    <row r="324" spans="3:4" ht="15.75" customHeight="1" x14ac:dyDescent="0.25">
      <c r="C324" s="18"/>
      <c r="D324" s="18"/>
    </row>
    <row r="325" spans="3:4" ht="15.75" customHeight="1" x14ac:dyDescent="0.25">
      <c r="C325" s="18"/>
      <c r="D325" s="18"/>
    </row>
    <row r="326" spans="3:4" ht="15.75" customHeight="1" x14ac:dyDescent="0.25">
      <c r="C326" s="18"/>
      <c r="D326" s="18"/>
    </row>
    <row r="327" spans="3:4" ht="15.75" customHeight="1" x14ac:dyDescent="0.25">
      <c r="C327" s="18"/>
      <c r="D327" s="18"/>
    </row>
    <row r="328" spans="3:4" ht="15.75" customHeight="1" x14ac:dyDescent="0.25">
      <c r="C328" s="18"/>
      <c r="D328" s="18"/>
    </row>
    <row r="329" spans="3:4" ht="15.75" customHeight="1" x14ac:dyDescent="0.25">
      <c r="C329" s="18"/>
      <c r="D329" s="18"/>
    </row>
    <row r="330" spans="3:4" ht="15.75" customHeight="1" x14ac:dyDescent="0.25">
      <c r="C330" s="18"/>
      <c r="D330" s="18"/>
    </row>
    <row r="331" spans="3:4" ht="15.75" customHeight="1" x14ac:dyDescent="0.25">
      <c r="C331" s="18"/>
      <c r="D331" s="18"/>
    </row>
    <row r="332" spans="3:4" ht="15.75" customHeight="1" x14ac:dyDescent="0.25">
      <c r="C332" s="18"/>
      <c r="D332" s="18"/>
    </row>
    <row r="333" spans="3:4" ht="15.75" customHeight="1" x14ac:dyDescent="0.25">
      <c r="C333" s="18"/>
      <c r="D333" s="18"/>
    </row>
    <row r="334" spans="3:4" ht="15.75" customHeight="1" x14ac:dyDescent="0.25">
      <c r="C334" s="18"/>
      <c r="D334" s="18"/>
    </row>
    <row r="335" spans="3:4" ht="15.75" customHeight="1" x14ac:dyDescent="0.25">
      <c r="C335" s="18"/>
      <c r="D335" s="18"/>
    </row>
    <row r="336" spans="3:4" ht="15.75" customHeight="1" x14ac:dyDescent="0.25">
      <c r="C336" s="18"/>
      <c r="D336" s="18"/>
    </row>
    <row r="337" spans="3:4" ht="15.75" customHeight="1" x14ac:dyDescent="0.25">
      <c r="C337" s="18"/>
      <c r="D337" s="18"/>
    </row>
    <row r="338" spans="3:4" ht="15.75" customHeight="1" x14ac:dyDescent="0.25">
      <c r="C338" s="18"/>
      <c r="D338" s="18"/>
    </row>
    <row r="339" spans="3:4" ht="15.75" customHeight="1" x14ac:dyDescent="0.25">
      <c r="C339" s="18"/>
      <c r="D339" s="18"/>
    </row>
    <row r="340" spans="3:4" ht="15.75" customHeight="1" x14ac:dyDescent="0.25">
      <c r="C340" s="18"/>
      <c r="D340" s="18"/>
    </row>
    <row r="341" spans="3:4" ht="15.75" customHeight="1" x14ac:dyDescent="0.25">
      <c r="C341" s="18"/>
      <c r="D341" s="18"/>
    </row>
    <row r="342" spans="3:4" ht="15.75" customHeight="1" x14ac:dyDescent="0.25">
      <c r="C342" s="18"/>
      <c r="D342" s="18"/>
    </row>
    <row r="343" spans="3:4" ht="15.75" customHeight="1" x14ac:dyDescent="0.25">
      <c r="C343" s="18"/>
      <c r="D343" s="18"/>
    </row>
    <row r="344" spans="3:4" ht="15.75" customHeight="1" x14ac:dyDescent="0.25">
      <c r="C344" s="18"/>
      <c r="D344" s="18"/>
    </row>
    <row r="345" spans="3:4" ht="15.75" customHeight="1" x14ac:dyDescent="0.25">
      <c r="C345" s="18"/>
      <c r="D345" s="18"/>
    </row>
    <row r="346" spans="3:4" ht="15.75" customHeight="1" x14ac:dyDescent="0.25">
      <c r="C346" s="18"/>
      <c r="D346" s="18"/>
    </row>
    <row r="347" spans="3:4" ht="15.75" customHeight="1" x14ac:dyDescent="0.25">
      <c r="C347" s="18"/>
      <c r="D347" s="18"/>
    </row>
    <row r="348" spans="3:4" ht="15.75" customHeight="1" x14ac:dyDescent="0.25">
      <c r="C348" s="18"/>
      <c r="D348" s="18"/>
    </row>
    <row r="349" spans="3:4" ht="15.75" customHeight="1" x14ac:dyDescent="0.25">
      <c r="C349" s="18"/>
      <c r="D349" s="18"/>
    </row>
    <row r="350" spans="3:4" ht="15.75" customHeight="1" x14ac:dyDescent="0.25">
      <c r="C350" s="18"/>
      <c r="D350" s="18"/>
    </row>
    <row r="351" spans="3:4" ht="15.75" customHeight="1" x14ac:dyDescent="0.25">
      <c r="C351" s="18"/>
      <c r="D351" s="18"/>
    </row>
    <row r="352" spans="3:4" ht="15.75" customHeight="1" x14ac:dyDescent="0.25">
      <c r="C352" s="18"/>
      <c r="D352" s="18"/>
    </row>
    <row r="353" spans="3:4" ht="15.75" customHeight="1" x14ac:dyDescent="0.25">
      <c r="C353" s="18"/>
      <c r="D353" s="18"/>
    </row>
    <row r="354" spans="3:4" ht="15.75" customHeight="1" x14ac:dyDescent="0.25">
      <c r="C354" s="18"/>
      <c r="D354" s="18"/>
    </row>
    <row r="355" spans="3:4" ht="15.75" customHeight="1" x14ac:dyDescent="0.25">
      <c r="C355" s="18"/>
      <c r="D355" s="18"/>
    </row>
    <row r="356" spans="3:4" ht="15.75" customHeight="1" x14ac:dyDescent="0.25">
      <c r="C356" s="18"/>
      <c r="D356" s="18"/>
    </row>
    <row r="357" spans="3:4" ht="15.75" customHeight="1" x14ac:dyDescent="0.25">
      <c r="C357" s="18"/>
      <c r="D357" s="18"/>
    </row>
    <row r="358" spans="3:4" ht="15.75" customHeight="1" x14ac:dyDescent="0.25">
      <c r="C358" s="18"/>
      <c r="D358" s="18"/>
    </row>
    <row r="359" spans="3:4" ht="15.75" customHeight="1" x14ac:dyDescent="0.25">
      <c r="C359" s="18"/>
      <c r="D359" s="18"/>
    </row>
    <row r="360" spans="3:4" ht="15.75" customHeight="1" x14ac:dyDescent="0.25">
      <c r="C360" s="18"/>
      <c r="D360" s="18"/>
    </row>
    <row r="361" spans="3:4" ht="15.75" customHeight="1" x14ac:dyDescent="0.25">
      <c r="C361" s="18"/>
      <c r="D361" s="18"/>
    </row>
    <row r="362" spans="3:4" ht="15.75" customHeight="1" x14ac:dyDescent="0.25">
      <c r="C362" s="18"/>
      <c r="D362" s="18"/>
    </row>
    <row r="363" spans="3:4" ht="15.75" customHeight="1" x14ac:dyDescent="0.25">
      <c r="C363" s="18"/>
      <c r="D363" s="18"/>
    </row>
    <row r="364" spans="3:4" ht="15.75" customHeight="1" x14ac:dyDescent="0.25">
      <c r="C364" s="18"/>
      <c r="D364" s="18"/>
    </row>
    <row r="365" spans="3:4" ht="15.75" customHeight="1" x14ac:dyDescent="0.25">
      <c r="C365" s="18"/>
      <c r="D365" s="18"/>
    </row>
    <row r="366" spans="3:4" ht="15.75" customHeight="1" x14ac:dyDescent="0.25">
      <c r="C366" s="18"/>
      <c r="D366" s="18"/>
    </row>
    <row r="367" spans="3:4" ht="15.75" customHeight="1" x14ac:dyDescent="0.25">
      <c r="C367" s="18"/>
      <c r="D367" s="18"/>
    </row>
    <row r="368" spans="3:4" ht="15.75" customHeight="1" x14ac:dyDescent="0.25">
      <c r="C368" s="18"/>
      <c r="D368" s="18"/>
    </row>
    <row r="369" spans="3:4" ht="15.75" customHeight="1" x14ac:dyDescent="0.25">
      <c r="C369" s="18"/>
      <c r="D369" s="18"/>
    </row>
    <row r="370" spans="3:4" ht="15.75" customHeight="1" x14ac:dyDescent="0.25">
      <c r="C370" s="18"/>
      <c r="D370" s="18"/>
    </row>
    <row r="371" spans="3:4" ht="15.75" customHeight="1" x14ac:dyDescent="0.25">
      <c r="C371" s="18"/>
      <c r="D371" s="18"/>
    </row>
    <row r="372" spans="3:4" ht="15.75" customHeight="1" x14ac:dyDescent="0.25">
      <c r="C372" s="18"/>
      <c r="D372" s="18"/>
    </row>
    <row r="373" spans="3:4" ht="15.75" customHeight="1" x14ac:dyDescent="0.25">
      <c r="C373" s="18"/>
      <c r="D373" s="18"/>
    </row>
    <row r="374" spans="3:4" ht="15.75" customHeight="1" x14ac:dyDescent="0.25">
      <c r="C374" s="18"/>
      <c r="D374" s="18"/>
    </row>
    <row r="375" spans="3:4" ht="15.75" customHeight="1" x14ac:dyDescent="0.25">
      <c r="C375" s="18"/>
      <c r="D375" s="18"/>
    </row>
    <row r="376" spans="3:4" ht="15.75" customHeight="1" x14ac:dyDescent="0.25">
      <c r="C376" s="18"/>
      <c r="D376" s="18"/>
    </row>
    <row r="377" spans="3:4" ht="15.75" customHeight="1" x14ac:dyDescent="0.25">
      <c r="C377" s="18"/>
      <c r="D377" s="18"/>
    </row>
    <row r="378" spans="3:4" ht="15.75" customHeight="1" x14ac:dyDescent="0.25">
      <c r="C378" s="18"/>
      <c r="D378" s="18"/>
    </row>
    <row r="379" spans="3:4" ht="15.75" customHeight="1" x14ac:dyDescent="0.25">
      <c r="C379" s="18"/>
      <c r="D379" s="18"/>
    </row>
    <row r="380" spans="3:4" ht="15.75" customHeight="1" x14ac:dyDescent="0.25">
      <c r="C380" s="18"/>
      <c r="D380" s="18"/>
    </row>
    <row r="381" spans="3:4" ht="15.75" customHeight="1" x14ac:dyDescent="0.25">
      <c r="C381" s="18"/>
      <c r="D381" s="18"/>
    </row>
    <row r="382" spans="3:4" ht="15.75" customHeight="1" x14ac:dyDescent="0.25">
      <c r="C382" s="18"/>
      <c r="D382" s="18"/>
    </row>
    <row r="383" spans="3:4" ht="15.75" customHeight="1" x14ac:dyDescent="0.25">
      <c r="C383" s="18"/>
      <c r="D383" s="18"/>
    </row>
    <row r="384" spans="3:4" ht="15.75" customHeight="1" x14ac:dyDescent="0.25">
      <c r="C384" s="18"/>
      <c r="D384" s="18"/>
    </row>
    <row r="385" spans="3:4" ht="15.75" customHeight="1" x14ac:dyDescent="0.25">
      <c r="C385" s="18"/>
      <c r="D385" s="18"/>
    </row>
    <row r="386" spans="3:4" ht="15.75" customHeight="1" x14ac:dyDescent="0.25">
      <c r="C386" s="18"/>
      <c r="D386" s="18"/>
    </row>
    <row r="387" spans="3:4" ht="15.75" customHeight="1" x14ac:dyDescent="0.25">
      <c r="C387" s="18"/>
      <c r="D387" s="18"/>
    </row>
    <row r="388" spans="3:4" ht="15.75" customHeight="1" x14ac:dyDescent="0.25">
      <c r="C388" s="18"/>
      <c r="D388" s="18"/>
    </row>
    <row r="389" spans="3:4" ht="15.75" customHeight="1" x14ac:dyDescent="0.25">
      <c r="C389" s="18"/>
      <c r="D389" s="18"/>
    </row>
    <row r="390" spans="3:4" ht="15.75" customHeight="1" x14ac:dyDescent="0.25">
      <c r="C390" s="18"/>
      <c r="D390" s="18"/>
    </row>
    <row r="391" spans="3:4" ht="15.75" customHeight="1" x14ac:dyDescent="0.25">
      <c r="C391" s="18"/>
      <c r="D391" s="18"/>
    </row>
    <row r="392" spans="3:4" ht="15.75" customHeight="1" x14ac:dyDescent="0.25">
      <c r="C392" s="18"/>
      <c r="D392" s="18"/>
    </row>
    <row r="393" spans="3:4" ht="15.75" customHeight="1" x14ac:dyDescent="0.25">
      <c r="C393" s="18"/>
      <c r="D393" s="18"/>
    </row>
    <row r="394" spans="3:4" ht="15.75" customHeight="1" x14ac:dyDescent="0.25">
      <c r="C394" s="18"/>
      <c r="D394" s="18"/>
    </row>
    <row r="395" spans="3:4" ht="15.75" customHeight="1" x14ac:dyDescent="0.25">
      <c r="C395" s="18"/>
      <c r="D395" s="18"/>
    </row>
    <row r="396" spans="3:4" ht="15.75" customHeight="1" x14ac:dyDescent="0.25">
      <c r="C396" s="18"/>
      <c r="D396" s="18"/>
    </row>
    <row r="397" spans="3:4" ht="15.75" customHeight="1" x14ac:dyDescent="0.25">
      <c r="C397" s="18"/>
      <c r="D397" s="18"/>
    </row>
    <row r="398" spans="3:4" ht="15.75" customHeight="1" x14ac:dyDescent="0.25">
      <c r="C398" s="18"/>
      <c r="D398" s="18"/>
    </row>
    <row r="399" spans="3:4" ht="15.75" customHeight="1" x14ac:dyDescent="0.25">
      <c r="C399" s="18"/>
      <c r="D399" s="18"/>
    </row>
    <row r="400" spans="3:4" ht="15.75" customHeight="1" x14ac:dyDescent="0.25">
      <c r="C400" s="18"/>
      <c r="D400" s="18"/>
    </row>
    <row r="401" spans="3:4" ht="15.75" customHeight="1" x14ac:dyDescent="0.25">
      <c r="C401" s="18"/>
      <c r="D401" s="18"/>
    </row>
    <row r="402" spans="3:4" ht="15.75" customHeight="1" x14ac:dyDescent="0.25">
      <c r="C402" s="18"/>
      <c r="D402" s="18"/>
    </row>
    <row r="403" spans="3:4" ht="15.75" customHeight="1" x14ac:dyDescent="0.25">
      <c r="C403" s="18"/>
      <c r="D403" s="18"/>
    </row>
    <row r="404" spans="3:4" ht="15.75" customHeight="1" x14ac:dyDescent="0.25">
      <c r="C404" s="18"/>
      <c r="D404" s="18"/>
    </row>
    <row r="405" spans="3:4" ht="15.75" customHeight="1" x14ac:dyDescent="0.25">
      <c r="C405" s="18"/>
      <c r="D405" s="18"/>
    </row>
    <row r="406" spans="3:4" ht="15.75" customHeight="1" x14ac:dyDescent="0.25">
      <c r="C406" s="18"/>
      <c r="D406" s="18"/>
    </row>
    <row r="407" spans="3:4" ht="15.75" customHeight="1" x14ac:dyDescent="0.25">
      <c r="C407" s="18"/>
      <c r="D407" s="18"/>
    </row>
    <row r="408" spans="3:4" ht="15.75" customHeight="1" x14ac:dyDescent="0.25">
      <c r="C408" s="18"/>
      <c r="D408" s="18"/>
    </row>
    <row r="409" spans="3:4" ht="15.75" customHeight="1" x14ac:dyDescent="0.25">
      <c r="C409" s="18"/>
      <c r="D409" s="18"/>
    </row>
    <row r="410" spans="3:4" ht="15.75" customHeight="1" x14ac:dyDescent="0.25">
      <c r="C410" s="18"/>
      <c r="D410" s="18"/>
    </row>
    <row r="411" spans="3:4" ht="15.75" customHeight="1" x14ac:dyDescent="0.25">
      <c r="C411" s="18"/>
      <c r="D411" s="18"/>
    </row>
    <row r="412" spans="3:4" ht="15.75" customHeight="1" x14ac:dyDescent="0.25">
      <c r="C412" s="18"/>
      <c r="D412" s="18"/>
    </row>
    <row r="413" spans="3:4" ht="15.75" customHeight="1" x14ac:dyDescent="0.25">
      <c r="C413" s="18"/>
      <c r="D413" s="18"/>
    </row>
    <row r="414" spans="3:4" ht="15.75" customHeight="1" x14ac:dyDescent="0.25">
      <c r="C414" s="18"/>
      <c r="D414" s="18"/>
    </row>
    <row r="415" spans="3:4" ht="15.75" customHeight="1" x14ac:dyDescent="0.25">
      <c r="C415" s="18"/>
      <c r="D415" s="18"/>
    </row>
    <row r="416" spans="3:4" ht="15.75" customHeight="1" x14ac:dyDescent="0.25">
      <c r="C416" s="18"/>
      <c r="D416" s="18"/>
    </row>
    <row r="417" spans="3:4" ht="15.75" customHeight="1" x14ac:dyDescent="0.25">
      <c r="C417" s="18"/>
      <c r="D417" s="18"/>
    </row>
    <row r="418" spans="3:4" ht="15.75" customHeight="1" x14ac:dyDescent="0.25">
      <c r="C418" s="18"/>
      <c r="D418" s="18"/>
    </row>
    <row r="419" spans="3:4" ht="15.75" customHeight="1" x14ac:dyDescent="0.25">
      <c r="C419" s="18"/>
      <c r="D419" s="18"/>
    </row>
    <row r="420" spans="3:4" ht="15.75" customHeight="1" x14ac:dyDescent="0.25">
      <c r="C420" s="18"/>
      <c r="D420" s="18"/>
    </row>
    <row r="421" spans="3:4" ht="15.75" customHeight="1" x14ac:dyDescent="0.25">
      <c r="C421" s="18"/>
      <c r="D421" s="18"/>
    </row>
    <row r="422" spans="3:4" ht="15.75" customHeight="1" x14ac:dyDescent="0.25">
      <c r="C422" s="18"/>
      <c r="D422" s="18"/>
    </row>
    <row r="423" spans="3:4" ht="15.75" customHeight="1" x14ac:dyDescent="0.25">
      <c r="C423" s="18"/>
      <c r="D423" s="18"/>
    </row>
    <row r="424" spans="3:4" ht="15.75" customHeight="1" x14ac:dyDescent="0.25">
      <c r="C424" s="18"/>
      <c r="D424" s="18"/>
    </row>
    <row r="425" spans="3:4" ht="15.75" customHeight="1" x14ac:dyDescent="0.25">
      <c r="C425" s="18"/>
      <c r="D425" s="18"/>
    </row>
    <row r="426" spans="3:4" ht="15.75" customHeight="1" x14ac:dyDescent="0.25">
      <c r="C426" s="18"/>
      <c r="D426" s="18"/>
    </row>
    <row r="427" spans="3:4" ht="15.75" customHeight="1" x14ac:dyDescent="0.25">
      <c r="C427" s="18"/>
      <c r="D427" s="18"/>
    </row>
    <row r="428" spans="3:4" ht="15.75" customHeight="1" x14ac:dyDescent="0.25">
      <c r="C428" s="18"/>
      <c r="D428" s="18"/>
    </row>
    <row r="429" spans="3:4" ht="15.75" customHeight="1" x14ac:dyDescent="0.25">
      <c r="C429" s="18"/>
      <c r="D429" s="18"/>
    </row>
    <row r="430" spans="3:4" ht="15.75" customHeight="1" x14ac:dyDescent="0.25">
      <c r="C430" s="18"/>
      <c r="D430" s="18"/>
    </row>
    <row r="431" spans="3:4" ht="15.75" customHeight="1" x14ac:dyDescent="0.25">
      <c r="C431" s="18"/>
      <c r="D431" s="18"/>
    </row>
    <row r="432" spans="3:4" ht="15.75" customHeight="1" x14ac:dyDescent="0.25">
      <c r="C432" s="18"/>
      <c r="D432" s="18"/>
    </row>
    <row r="433" spans="3:4" ht="15.75" customHeight="1" x14ac:dyDescent="0.25">
      <c r="C433" s="18"/>
      <c r="D433" s="18"/>
    </row>
    <row r="434" spans="3:4" ht="15.75" customHeight="1" x14ac:dyDescent="0.25">
      <c r="C434" s="18"/>
      <c r="D434" s="18"/>
    </row>
    <row r="435" spans="3:4" ht="15.75" customHeight="1" x14ac:dyDescent="0.25">
      <c r="C435" s="18"/>
      <c r="D435" s="18"/>
    </row>
    <row r="436" spans="3:4" ht="15.75" customHeight="1" x14ac:dyDescent="0.25">
      <c r="C436" s="18"/>
      <c r="D436" s="18"/>
    </row>
    <row r="437" spans="3:4" ht="15.75" customHeight="1" x14ac:dyDescent="0.25">
      <c r="C437" s="18"/>
      <c r="D437" s="18"/>
    </row>
    <row r="438" spans="3:4" ht="15.75" customHeight="1" x14ac:dyDescent="0.25">
      <c r="C438" s="18"/>
      <c r="D438" s="18"/>
    </row>
    <row r="439" spans="3:4" ht="15.75" customHeight="1" x14ac:dyDescent="0.25">
      <c r="C439" s="18"/>
      <c r="D439" s="18"/>
    </row>
    <row r="440" spans="3:4" ht="15.75" customHeight="1" x14ac:dyDescent="0.25">
      <c r="C440" s="18"/>
      <c r="D440" s="18"/>
    </row>
    <row r="441" spans="3:4" ht="15.75" customHeight="1" x14ac:dyDescent="0.25">
      <c r="C441" s="18"/>
      <c r="D441" s="18"/>
    </row>
    <row r="442" spans="3:4" ht="15.75" customHeight="1" x14ac:dyDescent="0.25">
      <c r="C442" s="18"/>
      <c r="D442" s="18"/>
    </row>
    <row r="443" spans="3:4" ht="15.75" customHeight="1" x14ac:dyDescent="0.25">
      <c r="C443" s="18"/>
      <c r="D443" s="18"/>
    </row>
    <row r="444" spans="3:4" ht="15.75" customHeight="1" x14ac:dyDescent="0.25">
      <c r="C444" s="18"/>
      <c r="D444" s="18"/>
    </row>
    <row r="445" spans="3:4" ht="15.75" customHeight="1" x14ac:dyDescent="0.25">
      <c r="C445" s="18"/>
      <c r="D445" s="18"/>
    </row>
    <row r="446" spans="3:4" ht="15.75" customHeight="1" x14ac:dyDescent="0.25">
      <c r="C446" s="18"/>
      <c r="D446" s="18"/>
    </row>
    <row r="447" spans="3:4" ht="15.75" customHeight="1" x14ac:dyDescent="0.25">
      <c r="C447" s="18"/>
      <c r="D447" s="18"/>
    </row>
    <row r="448" spans="3:4" ht="15.75" customHeight="1" x14ac:dyDescent="0.25">
      <c r="C448" s="18"/>
      <c r="D448" s="18"/>
    </row>
    <row r="449" spans="3:4" ht="15.75" customHeight="1" x14ac:dyDescent="0.25">
      <c r="C449" s="18"/>
      <c r="D449" s="18"/>
    </row>
    <row r="450" spans="3:4" ht="15.75" customHeight="1" x14ac:dyDescent="0.25">
      <c r="C450" s="18"/>
      <c r="D450" s="18"/>
    </row>
    <row r="451" spans="3:4" ht="15.75" customHeight="1" x14ac:dyDescent="0.25">
      <c r="C451" s="18"/>
      <c r="D451" s="18"/>
    </row>
    <row r="452" spans="3:4" ht="15.75" customHeight="1" x14ac:dyDescent="0.25">
      <c r="C452" s="18"/>
      <c r="D452" s="18"/>
    </row>
    <row r="453" spans="3:4" ht="15.75" customHeight="1" x14ac:dyDescent="0.25">
      <c r="C453" s="18"/>
      <c r="D453" s="18"/>
    </row>
    <row r="454" spans="3:4" ht="15.75" customHeight="1" x14ac:dyDescent="0.25">
      <c r="C454" s="18"/>
      <c r="D454" s="18"/>
    </row>
    <row r="455" spans="3:4" ht="15.75" customHeight="1" x14ac:dyDescent="0.25">
      <c r="C455" s="18"/>
      <c r="D455" s="18"/>
    </row>
    <row r="456" spans="3:4" ht="15.75" customHeight="1" x14ac:dyDescent="0.25">
      <c r="C456" s="18"/>
      <c r="D456" s="18"/>
    </row>
    <row r="457" spans="3:4" ht="15.75" customHeight="1" x14ac:dyDescent="0.25">
      <c r="C457" s="18"/>
      <c r="D457" s="18"/>
    </row>
    <row r="458" spans="3:4" ht="15.75" customHeight="1" x14ac:dyDescent="0.25">
      <c r="C458" s="18"/>
      <c r="D458" s="18"/>
    </row>
    <row r="459" spans="3:4" ht="15.75" customHeight="1" x14ac:dyDescent="0.25">
      <c r="C459" s="18"/>
      <c r="D459" s="18"/>
    </row>
    <row r="460" spans="3:4" ht="15.75" customHeight="1" x14ac:dyDescent="0.25">
      <c r="C460" s="18"/>
      <c r="D460" s="18"/>
    </row>
    <row r="461" spans="3:4" ht="15.75" customHeight="1" x14ac:dyDescent="0.25">
      <c r="C461" s="18"/>
      <c r="D461" s="18"/>
    </row>
    <row r="462" spans="3:4" ht="15.75" customHeight="1" x14ac:dyDescent="0.25">
      <c r="C462" s="18"/>
      <c r="D462" s="18"/>
    </row>
    <row r="463" spans="3:4" ht="15.75" customHeight="1" x14ac:dyDescent="0.25">
      <c r="C463" s="18"/>
      <c r="D463" s="18"/>
    </row>
    <row r="464" spans="3:4" ht="15.75" customHeight="1" x14ac:dyDescent="0.25">
      <c r="C464" s="18"/>
      <c r="D464" s="18"/>
    </row>
    <row r="465" spans="3:4" ht="15.75" customHeight="1" x14ac:dyDescent="0.25">
      <c r="C465" s="18"/>
      <c r="D465" s="18"/>
    </row>
    <row r="466" spans="3:4" ht="15.75" customHeight="1" x14ac:dyDescent="0.25">
      <c r="C466" s="18"/>
      <c r="D466" s="18"/>
    </row>
    <row r="467" spans="3:4" ht="15.75" customHeight="1" x14ac:dyDescent="0.25">
      <c r="C467" s="18"/>
      <c r="D467" s="18"/>
    </row>
    <row r="468" spans="3:4" ht="15.75" customHeight="1" x14ac:dyDescent="0.25">
      <c r="C468" s="18"/>
      <c r="D468" s="18"/>
    </row>
    <row r="469" spans="3:4" ht="15.75" customHeight="1" x14ac:dyDescent="0.25">
      <c r="C469" s="18"/>
      <c r="D469" s="18"/>
    </row>
    <row r="470" spans="3:4" ht="15.75" customHeight="1" x14ac:dyDescent="0.25">
      <c r="C470" s="18"/>
      <c r="D470" s="18"/>
    </row>
    <row r="471" spans="3:4" ht="15.75" customHeight="1" x14ac:dyDescent="0.25">
      <c r="C471" s="18"/>
      <c r="D471" s="18"/>
    </row>
    <row r="472" spans="3:4" ht="15.75" customHeight="1" x14ac:dyDescent="0.25">
      <c r="C472" s="18"/>
      <c r="D472" s="18"/>
    </row>
    <row r="473" spans="3:4" ht="15.75" customHeight="1" x14ac:dyDescent="0.25">
      <c r="C473" s="18"/>
      <c r="D473" s="18"/>
    </row>
    <row r="474" spans="3:4" ht="15.75" customHeight="1" x14ac:dyDescent="0.25">
      <c r="C474" s="18"/>
      <c r="D474" s="18"/>
    </row>
    <row r="475" spans="3:4" ht="15.75" customHeight="1" x14ac:dyDescent="0.25">
      <c r="C475" s="18"/>
      <c r="D475" s="18"/>
    </row>
    <row r="476" spans="3:4" ht="15.75" customHeight="1" x14ac:dyDescent="0.25">
      <c r="C476" s="18"/>
      <c r="D476" s="18"/>
    </row>
    <row r="477" spans="3:4" ht="15.75" customHeight="1" x14ac:dyDescent="0.25">
      <c r="C477" s="18"/>
      <c r="D477" s="18"/>
    </row>
    <row r="478" spans="3:4" ht="15.75" customHeight="1" x14ac:dyDescent="0.25">
      <c r="C478" s="18"/>
      <c r="D478" s="18"/>
    </row>
    <row r="479" spans="3:4" ht="15.75" customHeight="1" x14ac:dyDescent="0.25">
      <c r="C479" s="18"/>
      <c r="D479" s="18"/>
    </row>
    <row r="480" spans="3:4" ht="15.75" customHeight="1" x14ac:dyDescent="0.25">
      <c r="C480" s="18"/>
      <c r="D480" s="18"/>
    </row>
    <row r="481" spans="3:4" ht="15.75" customHeight="1" x14ac:dyDescent="0.25">
      <c r="C481" s="18"/>
      <c r="D481" s="18"/>
    </row>
    <row r="482" spans="3:4" ht="15.75" customHeight="1" x14ac:dyDescent="0.25">
      <c r="C482" s="18"/>
      <c r="D482" s="18"/>
    </row>
    <row r="483" spans="3:4" ht="15.75" customHeight="1" x14ac:dyDescent="0.25">
      <c r="C483" s="18"/>
      <c r="D483" s="18"/>
    </row>
    <row r="484" spans="3:4" ht="15.75" customHeight="1" x14ac:dyDescent="0.25">
      <c r="C484" s="18"/>
      <c r="D484" s="18"/>
    </row>
    <row r="485" spans="3:4" ht="15.75" customHeight="1" x14ac:dyDescent="0.25">
      <c r="C485" s="18"/>
      <c r="D485" s="18"/>
    </row>
    <row r="486" spans="3:4" ht="15.75" customHeight="1" x14ac:dyDescent="0.25">
      <c r="C486" s="18"/>
      <c r="D486" s="18"/>
    </row>
    <row r="487" spans="3:4" ht="15.75" customHeight="1" x14ac:dyDescent="0.25">
      <c r="C487" s="18"/>
      <c r="D487" s="18"/>
    </row>
    <row r="488" spans="3:4" ht="15.75" customHeight="1" x14ac:dyDescent="0.25">
      <c r="C488" s="18"/>
      <c r="D488" s="18"/>
    </row>
    <row r="489" spans="3:4" ht="15.75" customHeight="1" x14ac:dyDescent="0.25">
      <c r="C489" s="18"/>
      <c r="D489" s="18"/>
    </row>
    <row r="490" spans="3:4" ht="15.75" customHeight="1" x14ac:dyDescent="0.25">
      <c r="C490" s="18"/>
      <c r="D490" s="18"/>
    </row>
    <row r="491" spans="3:4" ht="15.75" customHeight="1" x14ac:dyDescent="0.25">
      <c r="C491" s="18"/>
      <c r="D491" s="18"/>
    </row>
    <row r="492" spans="3:4" ht="15.75" customHeight="1" x14ac:dyDescent="0.25">
      <c r="C492" s="18"/>
      <c r="D492" s="18"/>
    </row>
    <row r="493" spans="3:4" ht="15.75" customHeight="1" x14ac:dyDescent="0.25">
      <c r="C493" s="18"/>
      <c r="D493" s="18"/>
    </row>
    <row r="494" spans="3:4" ht="15.75" customHeight="1" x14ac:dyDescent="0.25">
      <c r="C494" s="18"/>
      <c r="D494" s="18"/>
    </row>
    <row r="495" spans="3:4" ht="15.75" customHeight="1" x14ac:dyDescent="0.25">
      <c r="C495" s="18"/>
      <c r="D495" s="18"/>
    </row>
    <row r="496" spans="3:4" ht="15.75" customHeight="1" x14ac:dyDescent="0.25">
      <c r="C496" s="18"/>
      <c r="D496" s="18"/>
    </row>
    <row r="497" spans="3:4" ht="15.75" customHeight="1" x14ac:dyDescent="0.25">
      <c r="C497" s="18"/>
      <c r="D497" s="18"/>
    </row>
    <row r="498" spans="3:4" ht="15.75" customHeight="1" x14ac:dyDescent="0.25">
      <c r="C498" s="18"/>
      <c r="D498" s="18"/>
    </row>
    <row r="499" spans="3:4" ht="15.75" customHeight="1" x14ac:dyDescent="0.25">
      <c r="C499" s="18"/>
      <c r="D499" s="18"/>
    </row>
    <row r="500" spans="3:4" ht="15.75" customHeight="1" x14ac:dyDescent="0.25">
      <c r="C500" s="18"/>
      <c r="D500" s="18"/>
    </row>
    <row r="501" spans="3:4" ht="15.75" customHeight="1" x14ac:dyDescent="0.25">
      <c r="C501" s="18"/>
      <c r="D501" s="18"/>
    </row>
    <row r="502" spans="3:4" ht="15.75" customHeight="1" x14ac:dyDescent="0.25">
      <c r="C502" s="18"/>
      <c r="D502" s="18"/>
    </row>
    <row r="503" spans="3:4" ht="15.75" customHeight="1" x14ac:dyDescent="0.25">
      <c r="C503" s="18"/>
      <c r="D503" s="18"/>
    </row>
    <row r="504" spans="3:4" ht="15.75" customHeight="1" x14ac:dyDescent="0.25">
      <c r="C504" s="18"/>
      <c r="D504" s="18"/>
    </row>
    <row r="505" spans="3:4" ht="15.75" customHeight="1" x14ac:dyDescent="0.25">
      <c r="C505" s="18"/>
      <c r="D505" s="18"/>
    </row>
    <row r="506" spans="3:4" ht="15.75" customHeight="1" x14ac:dyDescent="0.25">
      <c r="C506" s="18"/>
      <c r="D506" s="18"/>
    </row>
    <row r="507" spans="3:4" ht="15.75" customHeight="1" x14ac:dyDescent="0.25">
      <c r="C507" s="18"/>
      <c r="D507" s="18"/>
    </row>
    <row r="508" spans="3:4" ht="15.75" customHeight="1" x14ac:dyDescent="0.25">
      <c r="C508" s="18"/>
      <c r="D508" s="18"/>
    </row>
    <row r="509" spans="3:4" ht="15.75" customHeight="1" x14ac:dyDescent="0.25">
      <c r="C509" s="18"/>
      <c r="D509" s="18"/>
    </row>
    <row r="510" spans="3:4" ht="15.75" customHeight="1" x14ac:dyDescent="0.25">
      <c r="C510" s="18"/>
      <c r="D510" s="18"/>
    </row>
    <row r="511" spans="3:4" ht="15.75" customHeight="1" x14ac:dyDescent="0.25">
      <c r="C511" s="18"/>
      <c r="D511" s="18"/>
    </row>
    <row r="512" spans="3:4" ht="15.75" customHeight="1" x14ac:dyDescent="0.25">
      <c r="C512" s="18"/>
      <c r="D512" s="18"/>
    </row>
    <row r="513" spans="3:4" ht="15.75" customHeight="1" x14ac:dyDescent="0.25">
      <c r="C513" s="18"/>
      <c r="D513" s="18"/>
    </row>
    <row r="514" spans="3:4" ht="15.75" customHeight="1" x14ac:dyDescent="0.25">
      <c r="C514" s="18"/>
      <c r="D514" s="18"/>
    </row>
    <row r="515" spans="3:4" ht="15.75" customHeight="1" x14ac:dyDescent="0.25">
      <c r="C515" s="18"/>
      <c r="D515" s="18"/>
    </row>
    <row r="516" spans="3:4" ht="15.75" customHeight="1" x14ac:dyDescent="0.25">
      <c r="C516" s="18"/>
      <c r="D516" s="18"/>
    </row>
    <row r="517" spans="3:4" ht="15.75" customHeight="1" x14ac:dyDescent="0.25">
      <c r="C517" s="18"/>
      <c r="D517" s="18"/>
    </row>
    <row r="518" spans="3:4" ht="15.75" customHeight="1" x14ac:dyDescent="0.25">
      <c r="C518" s="18"/>
      <c r="D518" s="18"/>
    </row>
    <row r="519" spans="3:4" ht="15.75" customHeight="1" x14ac:dyDescent="0.25">
      <c r="C519" s="18"/>
      <c r="D519" s="18"/>
    </row>
    <row r="520" spans="3:4" ht="15.75" customHeight="1" x14ac:dyDescent="0.25">
      <c r="C520" s="18"/>
      <c r="D520" s="18"/>
    </row>
    <row r="521" spans="3:4" ht="15.75" customHeight="1" x14ac:dyDescent="0.25">
      <c r="C521" s="18"/>
      <c r="D521" s="18"/>
    </row>
    <row r="522" spans="3:4" ht="15.75" customHeight="1" x14ac:dyDescent="0.25">
      <c r="C522" s="18"/>
      <c r="D522" s="18"/>
    </row>
    <row r="523" spans="3:4" ht="15.75" customHeight="1" x14ac:dyDescent="0.25">
      <c r="C523" s="18"/>
      <c r="D523" s="18"/>
    </row>
    <row r="524" spans="3:4" ht="15.75" customHeight="1" x14ac:dyDescent="0.25">
      <c r="C524" s="18"/>
      <c r="D524" s="18"/>
    </row>
    <row r="525" spans="3:4" ht="15.75" customHeight="1" x14ac:dyDescent="0.25">
      <c r="C525" s="18"/>
      <c r="D525" s="18"/>
    </row>
    <row r="526" spans="3:4" ht="15.75" customHeight="1" x14ac:dyDescent="0.25">
      <c r="C526" s="18"/>
      <c r="D526" s="18"/>
    </row>
    <row r="527" spans="3:4" ht="15.75" customHeight="1" x14ac:dyDescent="0.25">
      <c r="C527" s="18"/>
      <c r="D527" s="18"/>
    </row>
    <row r="528" spans="3:4" ht="15.75" customHeight="1" x14ac:dyDescent="0.25">
      <c r="C528" s="18"/>
      <c r="D528" s="18"/>
    </row>
    <row r="529" spans="3:4" ht="15.75" customHeight="1" x14ac:dyDescent="0.25">
      <c r="C529" s="18"/>
      <c r="D529" s="18"/>
    </row>
    <row r="530" spans="3:4" ht="15.75" customHeight="1" x14ac:dyDescent="0.25">
      <c r="C530" s="18"/>
      <c r="D530" s="18"/>
    </row>
    <row r="531" spans="3:4" ht="15.75" customHeight="1" x14ac:dyDescent="0.25">
      <c r="C531" s="18"/>
      <c r="D531" s="18"/>
    </row>
    <row r="532" spans="3:4" ht="15.75" customHeight="1" x14ac:dyDescent="0.25">
      <c r="C532" s="18"/>
      <c r="D532" s="18"/>
    </row>
    <row r="533" spans="3:4" ht="15.75" customHeight="1" x14ac:dyDescent="0.25">
      <c r="C533" s="18"/>
      <c r="D533" s="18"/>
    </row>
    <row r="534" spans="3:4" ht="15.75" customHeight="1" x14ac:dyDescent="0.25">
      <c r="C534" s="18"/>
      <c r="D534" s="18"/>
    </row>
    <row r="535" spans="3:4" ht="15.75" customHeight="1" x14ac:dyDescent="0.25">
      <c r="C535" s="18"/>
      <c r="D535" s="18"/>
    </row>
    <row r="536" spans="3:4" ht="15.75" customHeight="1" x14ac:dyDescent="0.25">
      <c r="C536" s="18"/>
      <c r="D536" s="18"/>
    </row>
    <row r="537" spans="3:4" ht="15.75" customHeight="1" x14ac:dyDescent="0.25">
      <c r="C537" s="18"/>
      <c r="D537" s="18"/>
    </row>
    <row r="538" spans="3:4" ht="15.75" customHeight="1" x14ac:dyDescent="0.25">
      <c r="C538" s="18"/>
      <c r="D538" s="18"/>
    </row>
    <row r="539" spans="3:4" ht="15.75" customHeight="1" x14ac:dyDescent="0.25">
      <c r="C539" s="18"/>
      <c r="D539" s="18"/>
    </row>
    <row r="540" spans="3:4" ht="15.75" customHeight="1" x14ac:dyDescent="0.25">
      <c r="C540" s="18"/>
      <c r="D540" s="18"/>
    </row>
    <row r="541" spans="3:4" ht="15.75" customHeight="1" x14ac:dyDescent="0.25">
      <c r="C541" s="18"/>
      <c r="D541" s="18"/>
    </row>
    <row r="542" spans="3:4" ht="15.75" customHeight="1" x14ac:dyDescent="0.25">
      <c r="C542" s="18"/>
      <c r="D542" s="18"/>
    </row>
    <row r="543" spans="3:4" ht="15.75" customHeight="1" x14ac:dyDescent="0.25">
      <c r="C543" s="18"/>
      <c r="D543" s="18"/>
    </row>
    <row r="544" spans="3:4" ht="15.75" customHeight="1" x14ac:dyDescent="0.25">
      <c r="C544" s="18"/>
      <c r="D544" s="18"/>
    </row>
    <row r="545" spans="3:4" ht="15.75" customHeight="1" x14ac:dyDescent="0.25">
      <c r="C545" s="18"/>
      <c r="D545" s="18"/>
    </row>
    <row r="546" spans="3:4" ht="15.75" customHeight="1" x14ac:dyDescent="0.25">
      <c r="C546" s="18"/>
      <c r="D546" s="18"/>
    </row>
    <row r="547" spans="3:4" ht="15.75" customHeight="1" x14ac:dyDescent="0.25">
      <c r="C547" s="18"/>
      <c r="D547" s="18"/>
    </row>
    <row r="548" spans="3:4" ht="15.75" customHeight="1" x14ac:dyDescent="0.25">
      <c r="C548" s="18"/>
      <c r="D548" s="18"/>
    </row>
    <row r="549" spans="3:4" ht="15.75" customHeight="1" x14ac:dyDescent="0.25">
      <c r="C549" s="18"/>
      <c r="D549" s="18"/>
    </row>
    <row r="550" spans="3:4" ht="15.75" customHeight="1" x14ac:dyDescent="0.25">
      <c r="C550" s="18"/>
      <c r="D550" s="18"/>
    </row>
    <row r="551" spans="3:4" ht="15.75" customHeight="1" x14ac:dyDescent="0.25">
      <c r="C551" s="18"/>
      <c r="D551" s="18"/>
    </row>
    <row r="552" spans="3:4" ht="15.75" customHeight="1" x14ac:dyDescent="0.25">
      <c r="C552" s="18"/>
      <c r="D552" s="18"/>
    </row>
    <row r="553" spans="3:4" ht="15.75" customHeight="1" x14ac:dyDescent="0.25">
      <c r="C553" s="18"/>
      <c r="D553" s="18"/>
    </row>
    <row r="554" spans="3:4" ht="15.75" customHeight="1" x14ac:dyDescent="0.25">
      <c r="C554" s="18"/>
      <c r="D554" s="18"/>
    </row>
    <row r="555" spans="3:4" ht="15.75" customHeight="1" x14ac:dyDescent="0.25">
      <c r="C555" s="18"/>
      <c r="D555" s="18"/>
    </row>
    <row r="556" spans="3:4" ht="15.75" customHeight="1" x14ac:dyDescent="0.25">
      <c r="C556" s="18"/>
      <c r="D556" s="18"/>
    </row>
    <row r="557" spans="3:4" ht="15.75" customHeight="1" x14ac:dyDescent="0.25">
      <c r="C557" s="18"/>
      <c r="D557" s="18"/>
    </row>
    <row r="558" spans="3:4" ht="15.75" customHeight="1" x14ac:dyDescent="0.25">
      <c r="C558" s="18"/>
      <c r="D558" s="18"/>
    </row>
    <row r="559" spans="3:4" ht="15.75" customHeight="1" x14ac:dyDescent="0.25">
      <c r="C559" s="18"/>
      <c r="D559" s="18"/>
    </row>
    <row r="560" spans="3:4" ht="15.75" customHeight="1" x14ac:dyDescent="0.25">
      <c r="C560" s="18"/>
      <c r="D560" s="18"/>
    </row>
    <row r="561" spans="3:4" ht="15.75" customHeight="1" x14ac:dyDescent="0.25">
      <c r="C561" s="18"/>
      <c r="D561" s="18"/>
    </row>
    <row r="562" spans="3:4" ht="15.75" customHeight="1" x14ac:dyDescent="0.25">
      <c r="C562" s="18"/>
      <c r="D562" s="18"/>
    </row>
    <row r="563" spans="3:4" ht="15.75" customHeight="1" x14ac:dyDescent="0.25">
      <c r="C563" s="18"/>
      <c r="D563" s="18"/>
    </row>
    <row r="564" spans="3:4" ht="15.75" customHeight="1" x14ac:dyDescent="0.25">
      <c r="C564" s="18"/>
      <c r="D564" s="18"/>
    </row>
    <row r="565" spans="3:4" ht="15.75" customHeight="1" x14ac:dyDescent="0.25">
      <c r="C565" s="18"/>
      <c r="D565" s="18"/>
    </row>
    <row r="566" spans="3:4" ht="15.75" customHeight="1" x14ac:dyDescent="0.25">
      <c r="C566" s="18"/>
      <c r="D566" s="18"/>
    </row>
    <row r="567" spans="3:4" ht="15.75" customHeight="1" x14ac:dyDescent="0.25">
      <c r="C567" s="18"/>
      <c r="D567" s="18"/>
    </row>
    <row r="568" spans="3:4" ht="15.75" customHeight="1" x14ac:dyDescent="0.25">
      <c r="C568" s="18"/>
      <c r="D568" s="18"/>
    </row>
    <row r="569" spans="3:4" ht="15.75" customHeight="1" x14ac:dyDescent="0.25">
      <c r="C569" s="18"/>
      <c r="D569" s="18"/>
    </row>
    <row r="570" spans="3:4" ht="15.75" customHeight="1" x14ac:dyDescent="0.25">
      <c r="C570" s="18"/>
      <c r="D570" s="18"/>
    </row>
    <row r="571" spans="3:4" ht="15.75" customHeight="1" x14ac:dyDescent="0.25">
      <c r="C571" s="18"/>
      <c r="D571" s="18"/>
    </row>
    <row r="572" spans="3:4" ht="15.75" customHeight="1" x14ac:dyDescent="0.25">
      <c r="C572" s="18"/>
      <c r="D572" s="18"/>
    </row>
    <row r="573" spans="3:4" ht="15.75" customHeight="1" x14ac:dyDescent="0.25">
      <c r="C573" s="18"/>
      <c r="D573" s="18"/>
    </row>
    <row r="574" spans="3:4" ht="15.75" customHeight="1" x14ac:dyDescent="0.25">
      <c r="C574" s="18"/>
      <c r="D574" s="18"/>
    </row>
    <row r="575" spans="3:4" ht="15.75" customHeight="1" x14ac:dyDescent="0.25">
      <c r="C575" s="18"/>
      <c r="D575" s="18"/>
    </row>
    <row r="576" spans="3:4" ht="15.75" customHeight="1" x14ac:dyDescent="0.25">
      <c r="C576" s="18"/>
      <c r="D576" s="18"/>
    </row>
    <row r="577" spans="3:4" ht="15.75" customHeight="1" x14ac:dyDescent="0.25">
      <c r="C577" s="18"/>
      <c r="D577" s="18"/>
    </row>
    <row r="578" spans="3:4" ht="15.75" customHeight="1" x14ac:dyDescent="0.25">
      <c r="C578" s="18"/>
      <c r="D578" s="18"/>
    </row>
    <row r="579" spans="3:4" ht="15.75" customHeight="1" x14ac:dyDescent="0.25">
      <c r="C579" s="18"/>
      <c r="D579" s="18"/>
    </row>
    <row r="580" spans="3:4" ht="15.75" customHeight="1" x14ac:dyDescent="0.25">
      <c r="C580" s="18"/>
      <c r="D580" s="18"/>
    </row>
    <row r="581" spans="3:4" ht="15.75" customHeight="1" x14ac:dyDescent="0.25">
      <c r="C581" s="18"/>
      <c r="D581" s="18"/>
    </row>
    <row r="582" spans="3:4" ht="15.75" customHeight="1" x14ac:dyDescent="0.25">
      <c r="C582" s="18"/>
      <c r="D582" s="18"/>
    </row>
    <row r="583" spans="3:4" ht="15.75" customHeight="1" x14ac:dyDescent="0.25">
      <c r="C583" s="18"/>
      <c r="D583" s="18"/>
    </row>
    <row r="584" spans="3:4" ht="15.75" customHeight="1" x14ac:dyDescent="0.25">
      <c r="C584" s="18"/>
      <c r="D584" s="18"/>
    </row>
    <row r="585" spans="3:4" ht="15.75" customHeight="1" x14ac:dyDescent="0.25">
      <c r="C585" s="18"/>
      <c r="D585" s="18"/>
    </row>
    <row r="586" spans="3:4" ht="15.75" customHeight="1" x14ac:dyDescent="0.25">
      <c r="C586" s="18"/>
      <c r="D586" s="18"/>
    </row>
    <row r="587" spans="3:4" ht="15.75" customHeight="1" x14ac:dyDescent="0.25">
      <c r="C587" s="18"/>
      <c r="D587" s="18"/>
    </row>
    <row r="588" spans="3:4" ht="15.75" customHeight="1" x14ac:dyDescent="0.25">
      <c r="C588" s="18"/>
      <c r="D588" s="18"/>
    </row>
    <row r="589" spans="3:4" ht="15.75" customHeight="1" x14ac:dyDescent="0.25">
      <c r="C589" s="18"/>
      <c r="D589" s="18"/>
    </row>
    <row r="590" spans="3:4" ht="15.75" customHeight="1" x14ac:dyDescent="0.25">
      <c r="C590" s="18"/>
      <c r="D590" s="18"/>
    </row>
    <row r="591" spans="3:4" ht="15.75" customHeight="1" x14ac:dyDescent="0.25">
      <c r="C591" s="18"/>
      <c r="D591" s="18"/>
    </row>
    <row r="592" spans="3:4" ht="15.75" customHeight="1" x14ac:dyDescent="0.25">
      <c r="C592" s="18"/>
      <c r="D592" s="18"/>
    </row>
    <row r="593" spans="3:4" ht="15.75" customHeight="1" x14ac:dyDescent="0.25">
      <c r="C593" s="18"/>
      <c r="D593" s="18"/>
    </row>
    <row r="594" spans="3:4" ht="15.75" customHeight="1" x14ac:dyDescent="0.25">
      <c r="C594" s="18"/>
      <c r="D594" s="18"/>
    </row>
    <row r="595" spans="3:4" ht="15.75" customHeight="1" x14ac:dyDescent="0.25">
      <c r="C595" s="18"/>
      <c r="D595" s="18"/>
    </row>
    <row r="596" spans="3:4" ht="15.75" customHeight="1" x14ac:dyDescent="0.25">
      <c r="C596" s="18"/>
      <c r="D596" s="18"/>
    </row>
    <row r="597" spans="3:4" ht="15.75" customHeight="1" x14ac:dyDescent="0.25">
      <c r="C597" s="18"/>
      <c r="D597" s="18"/>
    </row>
    <row r="598" spans="3:4" ht="15.75" customHeight="1" x14ac:dyDescent="0.25">
      <c r="C598" s="18"/>
      <c r="D598" s="18"/>
    </row>
    <row r="599" spans="3:4" ht="15.75" customHeight="1" x14ac:dyDescent="0.25">
      <c r="C599" s="18"/>
      <c r="D599" s="18"/>
    </row>
    <row r="600" spans="3:4" ht="15.75" customHeight="1" x14ac:dyDescent="0.25">
      <c r="C600" s="18"/>
      <c r="D600" s="18"/>
    </row>
    <row r="601" spans="3:4" ht="15.75" customHeight="1" x14ac:dyDescent="0.25">
      <c r="C601" s="18"/>
      <c r="D601" s="18"/>
    </row>
    <row r="602" spans="3:4" ht="15.75" customHeight="1" x14ac:dyDescent="0.25">
      <c r="C602" s="18"/>
      <c r="D602" s="18"/>
    </row>
    <row r="603" spans="3:4" ht="15.75" customHeight="1" x14ac:dyDescent="0.25">
      <c r="C603" s="18"/>
      <c r="D603" s="18"/>
    </row>
    <row r="604" spans="3:4" ht="15.75" customHeight="1" x14ac:dyDescent="0.25">
      <c r="C604" s="18"/>
      <c r="D604" s="18"/>
    </row>
    <row r="605" spans="3:4" ht="15.75" customHeight="1" x14ac:dyDescent="0.25">
      <c r="C605" s="18"/>
      <c r="D605" s="18"/>
    </row>
    <row r="606" spans="3:4" ht="15.75" customHeight="1" x14ac:dyDescent="0.25">
      <c r="C606" s="18"/>
      <c r="D606" s="18"/>
    </row>
    <row r="607" spans="3:4" ht="15.75" customHeight="1" x14ac:dyDescent="0.25">
      <c r="C607" s="18"/>
      <c r="D607" s="18"/>
    </row>
    <row r="608" spans="3:4" ht="15.75" customHeight="1" x14ac:dyDescent="0.25">
      <c r="C608" s="18"/>
      <c r="D608" s="18"/>
    </row>
    <row r="609" spans="3:4" ht="15.75" customHeight="1" x14ac:dyDescent="0.25">
      <c r="C609" s="18"/>
      <c r="D609" s="18"/>
    </row>
    <row r="610" spans="3:4" ht="15.75" customHeight="1" x14ac:dyDescent="0.25">
      <c r="C610" s="18"/>
      <c r="D610" s="18"/>
    </row>
    <row r="611" spans="3:4" ht="15.75" customHeight="1" x14ac:dyDescent="0.25">
      <c r="C611" s="18"/>
      <c r="D611" s="18"/>
    </row>
    <row r="612" spans="3:4" ht="15.75" customHeight="1" x14ac:dyDescent="0.25">
      <c r="C612" s="18"/>
      <c r="D612" s="18"/>
    </row>
    <row r="613" spans="3:4" ht="15.75" customHeight="1" x14ac:dyDescent="0.25">
      <c r="C613" s="18"/>
      <c r="D613" s="18"/>
    </row>
    <row r="614" spans="3:4" ht="15.75" customHeight="1" x14ac:dyDescent="0.25">
      <c r="C614" s="18"/>
      <c r="D614" s="18"/>
    </row>
    <row r="615" spans="3:4" ht="15.75" customHeight="1" x14ac:dyDescent="0.25">
      <c r="C615" s="18"/>
      <c r="D615" s="18"/>
    </row>
    <row r="616" spans="3:4" ht="15.75" customHeight="1" x14ac:dyDescent="0.25">
      <c r="C616" s="18"/>
      <c r="D616" s="18"/>
    </row>
    <row r="617" spans="3:4" ht="15.75" customHeight="1" x14ac:dyDescent="0.25">
      <c r="C617" s="18"/>
      <c r="D617" s="18"/>
    </row>
    <row r="618" spans="3:4" ht="15.75" customHeight="1" x14ac:dyDescent="0.25">
      <c r="C618" s="18"/>
      <c r="D618" s="18"/>
    </row>
    <row r="619" spans="3:4" ht="15.75" customHeight="1" x14ac:dyDescent="0.25">
      <c r="C619" s="18"/>
      <c r="D619" s="18"/>
    </row>
    <row r="620" spans="3:4" ht="15.75" customHeight="1" x14ac:dyDescent="0.25">
      <c r="C620" s="18"/>
      <c r="D620" s="18"/>
    </row>
    <row r="621" spans="3:4" ht="15.75" customHeight="1" x14ac:dyDescent="0.25">
      <c r="C621" s="18"/>
      <c r="D621" s="18"/>
    </row>
    <row r="622" spans="3:4" ht="15.75" customHeight="1" x14ac:dyDescent="0.25">
      <c r="C622" s="18"/>
      <c r="D622" s="18"/>
    </row>
    <row r="623" spans="3:4" ht="15.75" customHeight="1" x14ac:dyDescent="0.25">
      <c r="C623" s="18"/>
      <c r="D623" s="18"/>
    </row>
    <row r="624" spans="3:4" ht="15.75" customHeight="1" x14ac:dyDescent="0.25">
      <c r="C624" s="18"/>
      <c r="D624" s="18"/>
    </row>
    <row r="625" spans="3:4" ht="15.75" customHeight="1" x14ac:dyDescent="0.25">
      <c r="C625" s="18"/>
      <c r="D625" s="18"/>
    </row>
    <row r="626" spans="3:4" ht="15.75" customHeight="1" x14ac:dyDescent="0.25">
      <c r="C626" s="18"/>
      <c r="D626" s="18"/>
    </row>
    <row r="627" spans="3:4" ht="15.75" customHeight="1" x14ac:dyDescent="0.25">
      <c r="C627" s="18"/>
      <c r="D627" s="18"/>
    </row>
    <row r="628" spans="3:4" ht="15.75" customHeight="1" x14ac:dyDescent="0.25">
      <c r="C628" s="18"/>
      <c r="D628" s="18"/>
    </row>
    <row r="629" spans="3:4" ht="15.75" customHeight="1" x14ac:dyDescent="0.25">
      <c r="C629" s="18"/>
      <c r="D629" s="18"/>
    </row>
    <row r="630" spans="3:4" ht="15.75" customHeight="1" x14ac:dyDescent="0.25">
      <c r="C630" s="18"/>
      <c r="D630" s="18"/>
    </row>
    <row r="631" spans="3:4" ht="15.75" customHeight="1" x14ac:dyDescent="0.25">
      <c r="C631" s="18"/>
      <c r="D631" s="18"/>
    </row>
    <row r="632" spans="3:4" ht="15.75" customHeight="1" x14ac:dyDescent="0.25">
      <c r="C632" s="18"/>
      <c r="D632" s="18"/>
    </row>
    <row r="633" spans="3:4" ht="15.75" customHeight="1" x14ac:dyDescent="0.25">
      <c r="C633" s="18"/>
      <c r="D633" s="18"/>
    </row>
    <row r="634" spans="3:4" ht="15.75" customHeight="1" x14ac:dyDescent="0.25">
      <c r="C634" s="18"/>
      <c r="D634" s="18"/>
    </row>
    <row r="635" spans="3:4" ht="15.75" customHeight="1" x14ac:dyDescent="0.25">
      <c r="C635" s="18"/>
      <c r="D635" s="18"/>
    </row>
    <row r="636" spans="3:4" ht="15.75" customHeight="1" x14ac:dyDescent="0.25">
      <c r="C636" s="18"/>
      <c r="D636" s="18"/>
    </row>
    <row r="637" spans="3:4" ht="15.75" customHeight="1" x14ac:dyDescent="0.25">
      <c r="C637" s="18"/>
      <c r="D637" s="18"/>
    </row>
    <row r="638" spans="3:4" ht="15.75" customHeight="1" x14ac:dyDescent="0.25">
      <c r="C638" s="18"/>
      <c r="D638" s="18"/>
    </row>
    <row r="639" spans="3:4" ht="15.75" customHeight="1" x14ac:dyDescent="0.25">
      <c r="C639" s="18"/>
      <c r="D639" s="18"/>
    </row>
    <row r="640" spans="3:4" ht="15.75" customHeight="1" x14ac:dyDescent="0.25">
      <c r="C640" s="18"/>
      <c r="D640" s="18"/>
    </row>
    <row r="641" spans="3:4" ht="15.75" customHeight="1" x14ac:dyDescent="0.25">
      <c r="C641" s="18"/>
      <c r="D641" s="18"/>
    </row>
    <row r="642" spans="3:4" ht="15.75" customHeight="1" x14ac:dyDescent="0.25">
      <c r="C642" s="18"/>
      <c r="D642" s="18"/>
    </row>
    <row r="643" spans="3:4" ht="15.75" customHeight="1" x14ac:dyDescent="0.25">
      <c r="C643" s="18"/>
      <c r="D643" s="18"/>
    </row>
    <row r="644" spans="3:4" ht="15.75" customHeight="1" x14ac:dyDescent="0.25">
      <c r="C644" s="18"/>
      <c r="D644" s="18"/>
    </row>
    <row r="645" spans="3:4" ht="15.75" customHeight="1" x14ac:dyDescent="0.25">
      <c r="C645" s="18"/>
      <c r="D645" s="18"/>
    </row>
    <row r="646" spans="3:4" ht="15.75" customHeight="1" x14ac:dyDescent="0.25">
      <c r="C646" s="18"/>
      <c r="D646" s="18"/>
    </row>
    <row r="647" spans="3:4" ht="15.75" customHeight="1" x14ac:dyDescent="0.25">
      <c r="C647" s="18"/>
      <c r="D647" s="18"/>
    </row>
    <row r="648" spans="3:4" ht="15.75" customHeight="1" x14ac:dyDescent="0.25">
      <c r="C648" s="18"/>
      <c r="D648" s="18"/>
    </row>
    <row r="649" spans="3:4" ht="15.75" customHeight="1" x14ac:dyDescent="0.25">
      <c r="C649" s="18"/>
      <c r="D649" s="18"/>
    </row>
    <row r="650" spans="3:4" ht="15.75" customHeight="1" x14ac:dyDescent="0.25">
      <c r="C650" s="18"/>
      <c r="D650" s="18"/>
    </row>
    <row r="651" spans="3:4" ht="15.75" customHeight="1" x14ac:dyDescent="0.25">
      <c r="C651" s="18"/>
      <c r="D651" s="18"/>
    </row>
    <row r="652" spans="3:4" ht="15.75" customHeight="1" x14ac:dyDescent="0.25">
      <c r="C652" s="18"/>
      <c r="D652" s="18"/>
    </row>
    <row r="653" spans="3:4" ht="15.75" customHeight="1" x14ac:dyDescent="0.25">
      <c r="C653" s="18"/>
      <c r="D653" s="18"/>
    </row>
    <row r="654" spans="3:4" ht="15.75" customHeight="1" x14ac:dyDescent="0.25">
      <c r="C654" s="18"/>
      <c r="D654" s="18"/>
    </row>
    <row r="655" spans="3:4" ht="15.75" customHeight="1" x14ac:dyDescent="0.25">
      <c r="C655" s="18"/>
      <c r="D655" s="18"/>
    </row>
    <row r="656" spans="3:4" ht="15.75" customHeight="1" x14ac:dyDescent="0.25">
      <c r="C656" s="18"/>
      <c r="D656" s="18"/>
    </row>
    <row r="657" spans="3:4" ht="15.75" customHeight="1" x14ac:dyDescent="0.25">
      <c r="C657" s="18"/>
      <c r="D657" s="18"/>
    </row>
    <row r="658" spans="3:4" ht="15.75" customHeight="1" x14ac:dyDescent="0.25">
      <c r="C658" s="18"/>
      <c r="D658" s="18"/>
    </row>
    <row r="659" spans="3:4" ht="15.75" customHeight="1" x14ac:dyDescent="0.25">
      <c r="C659" s="18"/>
      <c r="D659" s="18"/>
    </row>
    <row r="660" spans="3:4" ht="15.75" customHeight="1" x14ac:dyDescent="0.25">
      <c r="C660" s="18"/>
      <c r="D660" s="18"/>
    </row>
    <row r="661" spans="3:4" ht="15.75" customHeight="1" x14ac:dyDescent="0.25">
      <c r="C661" s="18"/>
      <c r="D661" s="18"/>
    </row>
    <row r="662" spans="3:4" ht="15.75" customHeight="1" x14ac:dyDescent="0.25">
      <c r="C662" s="18"/>
      <c r="D662" s="18"/>
    </row>
    <row r="663" spans="3:4" ht="15.75" customHeight="1" x14ac:dyDescent="0.25">
      <c r="C663" s="18"/>
      <c r="D663" s="18"/>
    </row>
    <row r="664" spans="3:4" ht="15.75" customHeight="1" x14ac:dyDescent="0.25">
      <c r="C664" s="18"/>
      <c r="D664" s="18"/>
    </row>
    <row r="665" spans="3:4" ht="15.75" customHeight="1" x14ac:dyDescent="0.25">
      <c r="C665" s="18"/>
      <c r="D665" s="18"/>
    </row>
    <row r="666" spans="3:4" ht="15.75" customHeight="1" x14ac:dyDescent="0.25">
      <c r="C666" s="18"/>
      <c r="D666" s="18"/>
    </row>
    <row r="667" spans="3:4" ht="15.75" customHeight="1" x14ac:dyDescent="0.25">
      <c r="C667" s="18"/>
      <c r="D667" s="18"/>
    </row>
    <row r="668" spans="3:4" ht="15.75" customHeight="1" x14ac:dyDescent="0.25">
      <c r="C668" s="18"/>
      <c r="D668" s="18"/>
    </row>
    <row r="669" spans="3:4" ht="15.75" customHeight="1" x14ac:dyDescent="0.25">
      <c r="C669" s="18"/>
      <c r="D669" s="18"/>
    </row>
    <row r="670" spans="3:4" ht="15.75" customHeight="1" x14ac:dyDescent="0.25">
      <c r="C670" s="18"/>
      <c r="D670" s="18"/>
    </row>
    <row r="671" spans="3:4" ht="15.75" customHeight="1" x14ac:dyDescent="0.25">
      <c r="C671" s="18"/>
      <c r="D671" s="18"/>
    </row>
    <row r="672" spans="3:4" ht="15.75" customHeight="1" x14ac:dyDescent="0.25">
      <c r="C672" s="18"/>
      <c r="D672" s="18"/>
    </row>
    <row r="673" spans="3:4" ht="15.75" customHeight="1" x14ac:dyDescent="0.25">
      <c r="C673" s="18"/>
      <c r="D673" s="18"/>
    </row>
    <row r="674" spans="3:4" ht="15.75" customHeight="1" x14ac:dyDescent="0.25">
      <c r="C674" s="18"/>
      <c r="D674" s="18"/>
    </row>
    <row r="675" spans="3:4" ht="15.75" customHeight="1" x14ac:dyDescent="0.25">
      <c r="C675" s="18"/>
      <c r="D675" s="18"/>
    </row>
    <row r="676" spans="3:4" ht="15.75" customHeight="1" x14ac:dyDescent="0.25">
      <c r="C676" s="18"/>
      <c r="D676" s="18"/>
    </row>
    <row r="677" spans="3:4" ht="15.75" customHeight="1" x14ac:dyDescent="0.25">
      <c r="C677" s="18"/>
      <c r="D677" s="18"/>
    </row>
    <row r="678" spans="3:4" ht="15.75" customHeight="1" x14ac:dyDescent="0.25">
      <c r="C678" s="18"/>
      <c r="D678" s="18"/>
    </row>
    <row r="679" spans="3:4" ht="15.75" customHeight="1" x14ac:dyDescent="0.25">
      <c r="C679" s="18"/>
      <c r="D679" s="18"/>
    </row>
    <row r="680" spans="3:4" ht="15.75" customHeight="1" x14ac:dyDescent="0.25">
      <c r="C680" s="18"/>
      <c r="D680" s="18"/>
    </row>
    <row r="681" spans="3:4" ht="15.75" customHeight="1" x14ac:dyDescent="0.25">
      <c r="C681" s="18"/>
      <c r="D681" s="18"/>
    </row>
    <row r="682" spans="3:4" ht="15.75" customHeight="1" x14ac:dyDescent="0.25">
      <c r="C682" s="18"/>
      <c r="D682" s="18"/>
    </row>
    <row r="683" spans="3:4" ht="15.75" customHeight="1" x14ac:dyDescent="0.25">
      <c r="C683" s="18"/>
      <c r="D683" s="18"/>
    </row>
    <row r="684" spans="3:4" ht="15.75" customHeight="1" x14ac:dyDescent="0.25">
      <c r="C684" s="18"/>
      <c r="D684" s="18"/>
    </row>
    <row r="685" spans="3:4" ht="15.75" customHeight="1" x14ac:dyDescent="0.25">
      <c r="C685" s="18"/>
      <c r="D685" s="18"/>
    </row>
    <row r="686" spans="3:4" ht="15.75" customHeight="1" x14ac:dyDescent="0.25">
      <c r="C686" s="18"/>
      <c r="D686" s="18"/>
    </row>
    <row r="687" spans="3:4" ht="15.75" customHeight="1" x14ac:dyDescent="0.25">
      <c r="C687" s="18"/>
      <c r="D687" s="18"/>
    </row>
    <row r="688" spans="3:4" ht="15.75" customHeight="1" x14ac:dyDescent="0.25">
      <c r="C688" s="18"/>
      <c r="D688" s="18"/>
    </row>
    <row r="689" spans="3:4" ht="15.75" customHeight="1" x14ac:dyDescent="0.25">
      <c r="C689" s="18"/>
      <c r="D689" s="18"/>
    </row>
    <row r="690" spans="3:4" ht="15.75" customHeight="1" x14ac:dyDescent="0.25">
      <c r="C690" s="18"/>
      <c r="D690" s="18"/>
    </row>
    <row r="691" spans="3:4" ht="15.75" customHeight="1" x14ac:dyDescent="0.25">
      <c r="C691" s="18"/>
      <c r="D691" s="18"/>
    </row>
    <row r="692" spans="3:4" ht="15.75" customHeight="1" x14ac:dyDescent="0.25">
      <c r="C692" s="18"/>
      <c r="D692" s="18"/>
    </row>
    <row r="693" spans="3:4" ht="15.75" customHeight="1" x14ac:dyDescent="0.25">
      <c r="C693" s="18"/>
      <c r="D693" s="18"/>
    </row>
    <row r="694" spans="3:4" ht="15.75" customHeight="1" x14ac:dyDescent="0.25">
      <c r="C694" s="18"/>
      <c r="D694" s="18"/>
    </row>
    <row r="695" spans="3:4" ht="15.75" customHeight="1" x14ac:dyDescent="0.25">
      <c r="C695" s="18"/>
      <c r="D695" s="18"/>
    </row>
    <row r="696" spans="3:4" ht="15.75" customHeight="1" x14ac:dyDescent="0.25">
      <c r="C696" s="18"/>
      <c r="D696" s="18"/>
    </row>
    <row r="697" spans="3:4" ht="15.75" customHeight="1" x14ac:dyDescent="0.25">
      <c r="C697" s="18"/>
      <c r="D697" s="18"/>
    </row>
    <row r="698" spans="3:4" ht="15.75" customHeight="1" x14ac:dyDescent="0.25">
      <c r="C698" s="18"/>
      <c r="D698" s="18"/>
    </row>
    <row r="699" spans="3:4" ht="15.75" customHeight="1" x14ac:dyDescent="0.25">
      <c r="C699" s="18"/>
      <c r="D699" s="18"/>
    </row>
    <row r="700" spans="3:4" ht="15.75" customHeight="1" x14ac:dyDescent="0.25">
      <c r="C700" s="18"/>
      <c r="D700" s="18"/>
    </row>
    <row r="701" spans="3:4" ht="15.75" customHeight="1" x14ac:dyDescent="0.25">
      <c r="C701" s="18"/>
      <c r="D701" s="18"/>
    </row>
    <row r="702" spans="3:4" ht="15.75" customHeight="1" x14ac:dyDescent="0.25">
      <c r="C702" s="18"/>
      <c r="D702" s="18"/>
    </row>
    <row r="703" spans="3:4" ht="15.75" customHeight="1" x14ac:dyDescent="0.25">
      <c r="C703" s="18"/>
      <c r="D703" s="18"/>
    </row>
    <row r="704" spans="3:4" ht="15.75" customHeight="1" x14ac:dyDescent="0.25">
      <c r="C704" s="18"/>
      <c r="D704" s="18"/>
    </row>
    <row r="705" spans="3:4" ht="15.75" customHeight="1" x14ac:dyDescent="0.25">
      <c r="C705" s="18"/>
      <c r="D705" s="18"/>
    </row>
    <row r="706" spans="3:4" ht="15.75" customHeight="1" x14ac:dyDescent="0.25">
      <c r="C706" s="18"/>
      <c r="D706" s="18"/>
    </row>
    <row r="707" spans="3:4" ht="15.75" customHeight="1" x14ac:dyDescent="0.25">
      <c r="C707" s="18"/>
      <c r="D707" s="18"/>
    </row>
    <row r="708" spans="3:4" ht="15.75" customHeight="1" x14ac:dyDescent="0.25">
      <c r="C708" s="18"/>
      <c r="D708" s="18"/>
    </row>
    <row r="709" spans="3:4" ht="15.75" customHeight="1" x14ac:dyDescent="0.25">
      <c r="C709" s="18"/>
      <c r="D709" s="18"/>
    </row>
    <row r="710" spans="3:4" ht="15.75" customHeight="1" x14ac:dyDescent="0.25">
      <c r="C710" s="18"/>
      <c r="D710" s="18"/>
    </row>
    <row r="711" spans="3:4" ht="15.75" customHeight="1" x14ac:dyDescent="0.25">
      <c r="C711" s="18"/>
      <c r="D711" s="18"/>
    </row>
    <row r="712" spans="3:4" ht="15.75" customHeight="1" x14ac:dyDescent="0.25">
      <c r="C712" s="18"/>
      <c r="D712" s="18"/>
    </row>
    <row r="713" spans="3:4" ht="15.75" customHeight="1" x14ac:dyDescent="0.25">
      <c r="C713" s="18"/>
      <c r="D713" s="18"/>
    </row>
    <row r="714" spans="3:4" ht="15.75" customHeight="1" x14ac:dyDescent="0.25">
      <c r="C714" s="18"/>
      <c r="D714" s="18"/>
    </row>
    <row r="715" spans="3:4" ht="15.75" customHeight="1" x14ac:dyDescent="0.25">
      <c r="C715" s="18"/>
      <c r="D715" s="18"/>
    </row>
    <row r="716" spans="3:4" ht="15.75" customHeight="1" x14ac:dyDescent="0.25">
      <c r="C716" s="18"/>
      <c r="D716" s="18"/>
    </row>
    <row r="717" spans="3:4" ht="15.75" customHeight="1" x14ac:dyDescent="0.25">
      <c r="C717" s="18"/>
      <c r="D717" s="18"/>
    </row>
    <row r="718" spans="3:4" ht="15.75" customHeight="1" x14ac:dyDescent="0.25">
      <c r="C718" s="18"/>
      <c r="D718" s="18"/>
    </row>
    <row r="719" spans="3:4" ht="15.75" customHeight="1" x14ac:dyDescent="0.25">
      <c r="C719" s="18"/>
      <c r="D719" s="18"/>
    </row>
    <row r="720" spans="3:4" ht="15.75" customHeight="1" x14ac:dyDescent="0.25">
      <c r="C720" s="18"/>
      <c r="D720" s="18"/>
    </row>
    <row r="721" spans="3:4" ht="15.75" customHeight="1" x14ac:dyDescent="0.25">
      <c r="C721" s="18"/>
      <c r="D721" s="18"/>
    </row>
    <row r="722" spans="3:4" ht="15.75" customHeight="1" x14ac:dyDescent="0.25">
      <c r="C722" s="18"/>
      <c r="D722" s="18"/>
    </row>
    <row r="723" spans="3:4" ht="15.75" customHeight="1" x14ac:dyDescent="0.25">
      <c r="C723" s="18"/>
      <c r="D723" s="18"/>
    </row>
    <row r="724" spans="3:4" ht="15.75" customHeight="1" x14ac:dyDescent="0.25">
      <c r="C724" s="18"/>
      <c r="D724" s="18"/>
    </row>
    <row r="725" spans="3:4" ht="15.75" customHeight="1" x14ac:dyDescent="0.25">
      <c r="C725" s="18"/>
      <c r="D725" s="18"/>
    </row>
    <row r="726" spans="3:4" ht="15.75" customHeight="1" x14ac:dyDescent="0.25">
      <c r="C726" s="18"/>
      <c r="D726" s="18"/>
    </row>
    <row r="727" spans="3:4" ht="15.75" customHeight="1" x14ac:dyDescent="0.25">
      <c r="C727" s="18"/>
      <c r="D727" s="18"/>
    </row>
    <row r="728" spans="3:4" ht="15.75" customHeight="1" x14ac:dyDescent="0.25">
      <c r="C728" s="18"/>
      <c r="D728" s="18"/>
    </row>
    <row r="729" spans="3:4" ht="15.75" customHeight="1" x14ac:dyDescent="0.25">
      <c r="C729" s="18"/>
      <c r="D729" s="18"/>
    </row>
    <row r="730" spans="3:4" ht="15.75" customHeight="1" x14ac:dyDescent="0.25">
      <c r="C730" s="18"/>
      <c r="D730" s="18"/>
    </row>
    <row r="731" spans="3:4" ht="15.75" customHeight="1" x14ac:dyDescent="0.25">
      <c r="C731" s="18"/>
      <c r="D731" s="18"/>
    </row>
    <row r="732" spans="3:4" ht="15.75" customHeight="1" x14ac:dyDescent="0.25">
      <c r="C732" s="18"/>
      <c r="D732" s="18"/>
    </row>
    <row r="733" spans="3:4" ht="15.75" customHeight="1" x14ac:dyDescent="0.25">
      <c r="C733" s="18"/>
      <c r="D733" s="18"/>
    </row>
    <row r="734" spans="3:4" ht="15.75" customHeight="1" x14ac:dyDescent="0.25">
      <c r="C734" s="18"/>
      <c r="D734" s="18"/>
    </row>
    <row r="735" spans="3:4" ht="15.75" customHeight="1" x14ac:dyDescent="0.25">
      <c r="C735" s="18"/>
      <c r="D735" s="18"/>
    </row>
    <row r="736" spans="3:4" ht="15.75" customHeight="1" x14ac:dyDescent="0.25">
      <c r="C736" s="18"/>
      <c r="D736" s="18"/>
    </row>
    <row r="737" spans="3:4" ht="15.75" customHeight="1" x14ac:dyDescent="0.25">
      <c r="C737" s="18"/>
      <c r="D737" s="18"/>
    </row>
    <row r="738" spans="3:4" ht="15.75" customHeight="1" x14ac:dyDescent="0.25">
      <c r="C738" s="18"/>
      <c r="D738" s="18"/>
    </row>
    <row r="739" spans="3:4" ht="15.75" customHeight="1" x14ac:dyDescent="0.25">
      <c r="C739" s="18"/>
      <c r="D739" s="18"/>
    </row>
    <row r="740" spans="3:4" ht="15.75" customHeight="1" x14ac:dyDescent="0.25">
      <c r="C740" s="18"/>
      <c r="D740" s="18"/>
    </row>
    <row r="741" spans="3:4" ht="15.75" customHeight="1" x14ac:dyDescent="0.25">
      <c r="C741" s="18"/>
      <c r="D741" s="18"/>
    </row>
    <row r="742" spans="3:4" ht="15.75" customHeight="1" x14ac:dyDescent="0.25">
      <c r="C742" s="18"/>
      <c r="D742" s="18"/>
    </row>
    <row r="743" spans="3:4" ht="15.75" customHeight="1" x14ac:dyDescent="0.25">
      <c r="C743" s="18"/>
      <c r="D743" s="18"/>
    </row>
    <row r="744" spans="3:4" ht="15.75" customHeight="1" x14ac:dyDescent="0.25">
      <c r="C744" s="18"/>
      <c r="D744" s="18"/>
    </row>
    <row r="745" spans="3:4" ht="15.75" customHeight="1" x14ac:dyDescent="0.25">
      <c r="C745" s="18"/>
      <c r="D745" s="18"/>
    </row>
    <row r="746" spans="3:4" ht="15.75" customHeight="1" x14ac:dyDescent="0.25">
      <c r="C746" s="18"/>
      <c r="D746" s="18"/>
    </row>
    <row r="747" spans="3:4" ht="15.75" customHeight="1" x14ac:dyDescent="0.25">
      <c r="C747" s="18"/>
      <c r="D747" s="18"/>
    </row>
    <row r="748" spans="3:4" ht="15.75" customHeight="1" x14ac:dyDescent="0.25">
      <c r="C748" s="18"/>
      <c r="D748" s="18"/>
    </row>
    <row r="749" spans="3:4" ht="15.75" customHeight="1" x14ac:dyDescent="0.25">
      <c r="C749" s="18"/>
      <c r="D749" s="18"/>
    </row>
    <row r="750" spans="3:4" ht="15.75" customHeight="1" x14ac:dyDescent="0.25">
      <c r="C750" s="18"/>
      <c r="D750" s="18"/>
    </row>
    <row r="751" spans="3:4" ht="15.75" customHeight="1" x14ac:dyDescent="0.25">
      <c r="C751" s="18"/>
      <c r="D751" s="18"/>
    </row>
    <row r="752" spans="3:4" ht="15.75" customHeight="1" x14ac:dyDescent="0.25">
      <c r="C752" s="18"/>
      <c r="D752" s="18"/>
    </row>
    <row r="753" spans="3:4" ht="15.75" customHeight="1" x14ac:dyDescent="0.25">
      <c r="C753" s="18"/>
      <c r="D753" s="18"/>
    </row>
    <row r="754" spans="3:4" ht="15.75" customHeight="1" x14ac:dyDescent="0.25">
      <c r="C754" s="18"/>
      <c r="D754" s="18"/>
    </row>
    <row r="755" spans="3:4" ht="15.75" customHeight="1" x14ac:dyDescent="0.25">
      <c r="C755" s="18"/>
      <c r="D755" s="18"/>
    </row>
    <row r="756" spans="3:4" ht="15.75" customHeight="1" x14ac:dyDescent="0.25">
      <c r="C756" s="18"/>
      <c r="D756" s="18"/>
    </row>
    <row r="757" spans="3:4" ht="15.75" customHeight="1" x14ac:dyDescent="0.25">
      <c r="C757" s="18"/>
      <c r="D757" s="18"/>
    </row>
    <row r="758" spans="3:4" ht="15.75" customHeight="1" x14ac:dyDescent="0.25">
      <c r="C758" s="18"/>
      <c r="D758" s="18"/>
    </row>
    <row r="759" spans="3:4" ht="15.75" customHeight="1" x14ac:dyDescent="0.25">
      <c r="C759" s="18"/>
      <c r="D759" s="18"/>
    </row>
    <row r="760" spans="3:4" ht="15.75" customHeight="1" x14ac:dyDescent="0.25">
      <c r="C760" s="18"/>
      <c r="D760" s="18"/>
    </row>
    <row r="761" spans="3:4" ht="15.75" customHeight="1" x14ac:dyDescent="0.25">
      <c r="C761" s="18"/>
      <c r="D761" s="18"/>
    </row>
    <row r="762" spans="3:4" ht="15.75" customHeight="1" x14ac:dyDescent="0.25">
      <c r="C762" s="18"/>
      <c r="D762" s="18"/>
    </row>
    <row r="763" spans="3:4" ht="15.75" customHeight="1" x14ac:dyDescent="0.25">
      <c r="C763" s="18"/>
      <c r="D763" s="18"/>
    </row>
    <row r="764" spans="3:4" ht="15.75" customHeight="1" x14ac:dyDescent="0.25">
      <c r="C764" s="18"/>
      <c r="D764" s="18"/>
    </row>
    <row r="765" spans="3:4" ht="15.75" customHeight="1" x14ac:dyDescent="0.25">
      <c r="C765" s="18"/>
      <c r="D765" s="18"/>
    </row>
    <row r="766" spans="3:4" ht="15.75" customHeight="1" x14ac:dyDescent="0.25">
      <c r="C766" s="18"/>
      <c r="D766" s="18"/>
    </row>
    <row r="767" spans="3:4" ht="15.75" customHeight="1" x14ac:dyDescent="0.25">
      <c r="C767" s="18"/>
      <c r="D767" s="18"/>
    </row>
    <row r="768" spans="3:4" ht="15.75" customHeight="1" x14ac:dyDescent="0.25">
      <c r="C768" s="18"/>
      <c r="D768" s="18"/>
    </row>
    <row r="769" spans="3:4" ht="15.75" customHeight="1" x14ac:dyDescent="0.25">
      <c r="C769" s="18"/>
      <c r="D769" s="18"/>
    </row>
    <row r="770" spans="3:4" ht="15.75" customHeight="1" x14ac:dyDescent="0.25">
      <c r="C770" s="18"/>
      <c r="D770" s="18"/>
    </row>
    <row r="771" spans="3:4" ht="15.75" customHeight="1" x14ac:dyDescent="0.25">
      <c r="C771" s="18"/>
      <c r="D771" s="18"/>
    </row>
    <row r="772" spans="3:4" ht="15.75" customHeight="1" x14ac:dyDescent="0.25">
      <c r="C772" s="18"/>
      <c r="D772" s="18"/>
    </row>
    <row r="773" spans="3:4" ht="15.75" customHeight="1" x14ac:dyDescent="0.25">
      <c r="C773" s="18"/>
      <c r="D773" s="18"/>
    </row>
    <row r="774" spans="3:4" ht="15.75" customHeight="1" x14ac:dyDescent="0.25">
      <c r="C774" s="18"/>
      <c r="D774" s="18"/>
    </row>
    <row r="775" spans="3:4" ht="15.75" customHeight="1" x14ac:dyDescent="0.25">
      <c r="C775" s="18"/>
      <c r="D775" s="18"/>
    </row>
    <row r="776" spans="3:4" ht="15.75" customHeight="1" x14ac:dyDescent="0.25">
      <c r="C776" s="18"/>
      <c r="D776" s="18"/>
    </row>
    <row r="777" spans="3:4" ht="15.75" customHeight="1" x14ac:dyDescent="0.25">
      <c r="C777" s="18"/>
      <c r="D777" s="18"/>
    </row>
    <row r="778" spans="3:4" ht="15.75" customHeight="1" x14ac:dyDescent="0.25">
      <c r="C778" s="18"/>
      <c r="D778" s="18"/>
    </row>
    <row r="779" spans="3:4" ht="15.75" customHeight="1" x14ac:dyDescent="0.25">
      <c r="C779" s="18"/>
      <c r="D779" s="18"/>
    </row>
    <row r="780" spans="3:4" ht="15.75" customHeight="1" x14ac:dyDescent="0.25">
      <c r="C780" s="18"/>
      <c r="D780" s="18"/>
    </row>
    <row r="781" spans="3:4" ht="15.75" customHeight="1" x14ac:dyDescent="0.25">
      <c r="C781" s="18"/>
      <c r="D781" s="18"/>
    </row>
    <row r="782" spans="3:4" ht="15.75" customHeight="1" x14ac:dyDescent="0.25">
      <c r="C782" s="18"/>
      <c r="D782" s="18"/>
    </row>
    <row r="783" spans="3:4" ht="15.75" customHeight="1" x14ac:dyDescent="0.25">
      <c r="C783" s="18"/>
      <c r="D783" s="18"/>
    </row>
    <row r="784" spans="3:4" ht="15.75" customHeight="1" x14ac:dyDescent="0.25">
      <c r="C784" s="18"/>
      <c r="D784" s="18"/>
    </row>
    <row r="785" spans="3:4" ht="15.75" customHeight="1" x14ac:dyDescent="0.25">
      <c r="C785" s="18"/>
      <c r="D785" s="18"/>
    </row>
    <row r="786" spans="3:4" ht="15.75" customHeight="1" x14ac:dyDescent="0.25">
      <c r="C786" s="18"/>
      <c r="D786" s="18"/>
    </row>
    <row r="787" spans="3:4" ht="15.75" customHeight="1" x14ac:dyDescent="0.25">
      <c r="C787" s="18"/>
      <c r="D787" s="18"/>
    </row>
    <row r="788" spans="3:4" ht="15.75" customHeight="1" x14ac:dyDescent="0.25">
      <c r="C788" s="18"/>
      <c r="D788" s="18"/>
    </row>
    <row r="789" spans="3:4" ht="15.75" customHeight="1" x14ac:dyDescent="0.25">
      <c r="C789" s="18"/>
      <c r="D789" s="18"/>
    </row>
    <row r="790" spans="3:4" ht="15.75" customHeight="1" x14ac:dyDescent="0.25">
      <c r="C790" s="18"/>
      <c r="D790" s="18"/>
    </row>
    <row r="791" spans="3:4" ht="15.75" customHeight="1" x14ac:dyDescent="0.25">
      <c r="C791" s="18"/>
      <c r="D791" s="18"/>
    </row>
    <row r="792" spans="3:4" ht="15.75" customHeight="1" x14ac:dyDescent="0.25">
      <c r="C792" s="18"/>
      <c r="D792" s="18"/>
    </row>
    <row r="793" spans="3:4" ht="15.75" customHeight="1" x14ac:dyDescent="0.25">
      <c r="C793" s="18"/>
      <c r="D793" s="18"/>
    </row>
    <row r="794" spans="3:4" ht="15.75" customHeight="1" x14ac:dyDescent="0.25">
      <c r="C794" s="18"/>
      <c r="D794" s="18"/>
    </row>
    <row r="795" spans="3:4" ht="15.75" customHeight="1" x14ac:dyDescent="0.25">
      <c r="C795" s="18"/>
      <c r="D795" s="18"/>
    </row>
    <row r="796" spans="3:4" ht="15.75" customHeight="1" x14ac:dyDescent="0.25">
      <c r="C796" s="18"/>
      <c r="D796" s="18"/>
    </row>
    <row r="797" spans="3:4" ht="15.75" customHeight="1" x14ac:dyDescent="0.25">
      <c r="C797" s="18"/>
      <c r="D797" s="18"/>
    </row>
    <row r="798" spans="3:4" ht="15.75" customHeight="1" x14ac:dyDescent="0.25">
      <c r="C798" s="18"/>
      <c r="D798" s="18"/>
    </row>
    <row r="799" spans="3:4" ht="15.75" customHeight="1" x14ac:dyDescent="0.25">
      <c r="C799" s="18"/>
      <c r="D799" s="18"/>
    </row>
    <row r="800" spans="3:4" ht="15.75" customHeight="1" x14ac:dyDescent="0.25">
      <c r="C800" s="18"/>
      <c r="D800" s="18"/>
    </row>
    <row r="801" spans="3:4" ht="15.75" customHeight="1" x14ac:dyDescent="0.25">
      <c r="C801" s="18"/>
      <c r="D801" s="18"/>
    </row>
    <row r="802" spans="3:4" ht="15.75" customHeight="1" x14ac:dyDescent="0.25">
      <c r="C802" s="18"/>
      <c r="D802" s="18"/>
    </row>
    <row r="803" spans="3:4" ht="15.75" customHeight="1" x14ac:dyDescent="0.25">
      <c r="C803" s="18"/>
      <c r="D803" s="18"/>
    </row>
    <row r="804" spans="3:4" ht="15.75" customHeight="1" x14ac:dyDescent="0.25">
      <c r="C804" s="18"/>
      <c r="D804" s="18"/>
    </row>
    <row r="805" spans="3:4" ht="15.75" customHeight="1" x14ac:dyDescent="0.25">
      <c r="C805" s="18"/>
      <c r="D805" s="18"/>
    </row>
    <row r="806" spans="3:4" ht="15.75" customHeight="1" x14ac:dyDescent="0.25">
      <c r="C806" s="18"/>
      <c r="D806" s="18"/>
    </row>
    <row r="807" spans="3:4" ht="15.75" customHeight="1" x14ac:dyDescent="0.25">
      <c r="C807" s="18"/>
      <c r="D807" s="18"/>
    </row>
    <row r="808" spans="3:4" ht="15.75" customHeight="1" x14ac:dyDescent="0.25">
      <c r="C808" s="18"/>
      <c r="D808" s="18"/>
    </row>
    <row r="809" spans="3:4" ht="15.75" customHeight="1" x14ac:dyDescent="0.25">
      <c r="C809" s="18"/>
      <c r="D809" s="18"/>
    </row>
    <row r="810" spans="3:4" ht="15.75" customHeight="1" x14ac:dyDescent="0.25">
      <c r="C810" s="18"/>
      <c r="D810" s="18"/>
    </row>
    <row r="811" spans="3:4" ht="15.75" customHeight="1" x14ac:dyDescent="0.25">
      <c r="C811" s="18"/>
      <c r="D811" s="18"/>
    </row>
    <row r="812" spans="3:4" ht="15.75" customHeight="1" x14ac:dyDescent="0.25">
      <c r="C812" s="18"/>
      <c r="D812" s="18"/>
    </row>
    <row r="813" spans="3:4" ht="15.75" customHeight="1" x14ac:dyDescent="0.25">
      <c r="C813" s="18"/>
      <c r="D813" s="18"/>
    </row>
    <row r="814" spans="3:4" ht="15.75" customHeight="1" x14ac:dyDescent="0.25">
      <c r="C814" s="18"/>
      <c r="D814" s="18"/>
    </row>
    <row r="815" spans="3:4" ht="15.75" customHeight="1" x14ac:dyDescent="0.25">
      <c r="C815" s="18"/>
      <c r="D815" s="18"/>
    </row>
    <row r="816" spans="3:4" ht="15.75" customHeight="1" x14ac:dyDescent="0.25">
      <c r="C816" s="18"/>
      <c r="D816" s="18"/>
    </row>
    <row r="817" spans="3:4" ht="15.75" customHeight="1" x14ac:dyDescent="0.25">
      <c r="C817" s="18"/>
      <c r="D817" s="18"/>
    </row>
    <row r="818" spans="3:4" ht="15.75" customHeight="1" x14ac:dyDescent="0.25">
      <c r="C818" s="18"/>
      <c r="D818" s="18"/>
    </row>
    <row r="819" spans="3:4" ht="15.75" customHeight="1" x14ac:dyDescent="0.25">
      <c r="C819" s="18"/>
      <c r="D819" s="18"/>
    </row>
    <row r="820" spans="3:4" ht="15.75" customHeight="1" x14ac:dyDescent="0.25">
      <c r="C820" s="18"/>
      <c r="D820" s="18"/>
    </row>
    <row r="821" spans="3:4" ht="15.75" customHeight="1" x14ac:dyDescent="0.25">
      <c r="C821" s="18"/>
      <c r="D821" s="18"/>
    </row>
    <row r="822" spans="3:4" ht="15.75" customHeight="1" x14ac:dyDescent="0.25">
      <c r="C822" s="18"/>
      <c r="D822" s="18"/>
    </row>
    <row r="823" spans="3:4" ht="15.75" customHeight="1" x14ac:dyDescent="0.25">
      <c r="C823" s="18"/>
      <c r="D823" s="18"/>
    </row>
    <row r="824" spans="3:4" ht="15.75" customHeight="1" x14ac:dyDescent="0.25">
      <c r="C824" s="18"/>
      <c r="D824" s="18"/>
    </row>
    <row r="825" spans="3:4" ht="15.75" customHeight="1" x14ac:dyDescent="0.25">
      <c r="C825" s="18"/>
      <c r="D825" s="18"/>
    </row>
    <row r="826" spans="3:4" ht="15.75" customHeight="1" x14ac:dyDescent="0.25">
      <c r="C826" s="18"/>
      <c r="D826" s="18"/>
    </row>
    <row r="827" spans="3:4" ht="15.75" customHeight="1" x14ac:dyDescent="0.25">
      <c r="C827" s="18"/>
      <c r="D827" s="18"/>
    </row>
    <row r="828" spans="3:4" ht="15.75" customHeight="1" x14ac:dyDescent="0.25">
      <c r="C828" s="18"/>
      <c r="D828" s="18"/>
    </row>
    <row r="829" spans="3:4" ht="15.75" customHeight="1" x14ac:dyDescent="0.25">
      <c r="C829" s="18"/>
      <c r="D829" s="18"/>
    </row>
    <row r="830" spans="3:4" ht="15.75" customHeight="1" x14ac:dyDescent="0.25">
      <c r="C830" s="18"/>
      <c r="D830" s="18"/>
    </row>
    <row r="831" spans="3:4" ht="15.75" customHeight="1" x14ac:dyDescent="0.25">
      <c r="C831" s="18"/>
      <c r="D831" s="18"/>
    </row>
    <row r="832" spans="3:4" ht="15.75" customHeight="1" x14ac:dyDescent="0.25">
      <c r="C832" s="18"/>
      <c r="D832" s="18"/>
    </row>
    <row r="833" spans="3:4" ht="15.75" customHeight="1" x14ac:dyDescent="0.25">
      <c r="C833" s="18"/>
      <c r="D833" s="18"/>
    </row>
    <row r="834" spans="3:4" ht="15.75" customHeight="1" x14ac:dyDescent="0.25">
      <c r="C834" s="18"/>
      <c r="D834" s="18"/>
    </row>
    <row r="835" spans="3:4" ht="15.75" customHeight="1" x14ac:dyDescent="0.25">
      <c r="C835" s="18"/>
      <c r="D835" s="18"/>
    </row>
    <row r="836" spans="3:4" ht="15.75" customHeight="1" x14ac:dyDescent="0.25">
      <c r="C836" s="18"/>
      <c r="D836" s="18"/>
    </row>
    <row r="837" spans="3:4" ht="15.75" customHeight="1" x14ac:dyDescent="0.25">
      <c r="C837" s="18"/>
      <c r="D837" s="18"/>
    </row>
    <row r="838" spans="3:4" ht="15.75" customHeight="1" x14ac:dyDescent="0.25">
      <c r="C838" s="18"/>
      <c r="D838" s="18"/>
    </row>
    <row r="839" spans="3:4" ht="15.75" customHeight="1" x14ac:dyDescent="0.25">
      <c r="C839" s="18"/>
      <c r="D839" s="18"/>
    </row>
    <row r="840" spans="3:4" ht="15.75" customHeight="1" x14ac:dyDescent="0.25">
      <c r="C840" s="18"/>
      <c r="D840" s="18"/>
    </row>
    <row r="841" spans="3:4" ht="15.75" customHeight="1" x14ac:dyDescent="0.25">
      <c r="C841" s="18"/>
      <c r="D841" s="18"/>
    </row>
    <row r="842" spans="3:4" ht="15.75" customHeight="1" x14ac:dyDescent="0.25">
      <c r="C842" s="18"/>
      <c r="D842" s="18"/>
    </row>
    <row r="843" spans="3:4" ht="15.75" customHeight="1" x14ac:dyDescent="0.25">
      <c r="C843" s="18"/>
      <c r="D843" s="18"/>
    </row>
    <row r="844" spans="3:4" ht="15.75" customHeight="1" x14ac:dyDescent="0.25">
      <c r="C844" s="18"/>
      <c r="D844" s="18"/>
    </row>
    <row r="845" spans="3:4" ht="15.75" customHeight="1" x14ac:dyDescent="0.25">
      <c r="C845" s="18"/>
      <c r="D845" s="18"/>
    </row>
    <row r="846" spans="3:4" ht="15.75" customHeight="1" x14ac:dyDescent="0.25">
      <c r="C846" s="18"/>
      <c r="D846" s="18"/>
    </row>
    <row r="847" spans="3:4" ht="15.75" customHeight="1" x14ac:dyDescent="0.25">
      <c r="C847" s="18"/>
      <c r="D847" s="18"/>
    </row>
    <row r="848" spans="3:4" ht="15.75" customHeight="1" x14ac:dyDescent="0.25">
      <c r="C848" s="18"/>
      <c r="D848" s="18"/>
    </row>
    <row r="849" spans="3:4" ht="15.75" customHeight="1" x14ac:dyDescent="0.25">
      <c r="C849" s="18"/>
      <c r="D849" s="18"/>
    </row>
    <row r="850" spans="3:4" ht="15.75" customHeight="1" x14ac:dyDescent="0.25">
      <c r="C850" s="18"/>
      <c r="D850" s="18"/>
    </row>
    <row r="851" spans="3:4" ht="15.75" customHeight="1" x14ac:dyDescent="0.25">
      <c r="C851" s="18"/>
      <c r="D851" s="18"/>
    </row>
    <row r="852" spans="3:4" ht="15.75" customHeight="1" x14ac:dyDescent="0.25">
      <c r="C852" s="18"/>
      <c r="D852" s="18"/>
    </row>
    <row r="853" spans="3:4" ht="15.75" customHeight="1" x14ac:dyDescent="0.25">
      <c r="C853" s="18"/>
      <c r="D853" s="18"/>
    </row>
    <row r="854" spans="3:4" ht="15.75" customHeight="1" x14ac:dyDescent="0.25">
      <c r="C854" s="18"/>
      <c r="D854" s="18"/>
    </row>
    <row r="855" spans="3:4" ht="15.75" customHeight="1" x14ac:dyDescent="0.25">
      <c r="C855" s="18"/>
      <c r="D855" s="18"/>
    </row>
    <row r="856" spans="3:4" ht="15.75" customHeight="1" x14ac:dyDescent="0.25">
      <c r="C856" s="18"/>
      <c r="D856" s="18"/>
    </row>
    <row r="857" spans="3:4" ht="15.75" customHeight="1" x14ac:dyDescent="0.25">
      <c r="C857" s="18"/>
      <c r="D857" s="18"/>
    </row>
    <row r="858" spans="3:4" ht="15.75" customHeight="1" x14ac:dyDescent="0.25">
      <c r="C858" s="18"/>
      <c r="D858" s="18"/>
    </row>
    <row r="859" spans="3:4" ht="15.75" customHeight="1" x14ac:dyDescent="0.25">
      <c r="C859" s="18"/>
      <c r="D859" s="18"/>
    </row>
    <row r="860" spans="3:4" ht="15.75" customHeight="1" x14ac:dyDescent="0.25">
      <c r="C860" s="18"/>
      <c r="D860" s="18"/>
    </row>
    <row r="861" spans="3:4" ht="15.75" customHeight="1" x14ac:dyDescent="0.25">
      <c r="C861" s="18"/>
      <c r="D861" s="18"/>
    </row>
    <row r="862" spans="3:4" ht="15.75" customHeight="1" x14ac:dyDescent="0.25">
      <c r="C862" s="18"/>
      <c r="D862" s="18"/>
    </row>
    <row r="863" spans="3:4" ht="15.75" customHeight="1" x14ac:dyDescent="0.25">
      <c r="C863" s="18"/>
      <c r="D863" s="18"/>
    </row>
    <row r="864" spans="3:4" ht="15.75" customHeight="1" x14ac:dyDescent="0.25">
      <c r="C864" s="18"/>
      <c r="D864" s="18"/>
    </row>
    <row r="865" spans="3:4" ht="15.75" customHeight="1" x14ac:dyDescent="0.25">
      <c r="C865" s="18"/>
      <c r="D865" s="18"/>
    </row>
    <row r="866" spans="3:4" ht="15.75" customHeight="1" x14ac:dyDescent="0.25">
      <c r="C866" s="18"/>
      <c r="D866" s="18"/>
    </row>
    <row r="867" spans="3:4" ht="15.75" customHeight="1" x14ac:dyDescent="0.25">
      <c r="C867" s="18"/>
      <c r="D867" s="18"/>
    </row>
    <row r="868" spans="3:4" ht="15.75" customHeight="1" x14ac:dyDescent="0.25">
      <c r="C868" s="18"/>
      <c r="D868" s="18"/>
    </row>
    <row r="869" spans="3:4" ht="15.75" customHeight="1" x14ac:dyDescent="0.25">
      <c r="C869" s="18"/>
      <c r="D869" s="18"/>
    </row>
    <row r="870" spans="3:4" ht="15.75" customHeight="1" x14ac:dyDescent="0.25">
      <c r="C870" s="18"/>
      <c r="D870" s="18"/>
    </row>
    <row r="871" spans="3:4" ht="15.75" customHeight="1" x14ac:dyDescent="0.25">
      <c r="C871" s="18"/>
      <c r="D871" s="18"/>
    </row>
    <row r="872" spans="3:4" ht="15.75" customHeight="1" x14ac:dyDescent="0.25">
      <c r="C872" s="18"/>
      <c r="D872" s="18"/>
    </row>
    <row r="873" spans="3:4" ht="15.75" customHeight="1" x14ac:dyDescent="0.25">
      <c r="C873" s="18"/>
      <c r="D873" s="18"/>
    </row>
    <row r="874" spans="3:4" ht="15.75" customHeight="1" x14ac:dyDescent="0.25">
      <c r="C874" s="18"/>
      <c r="D874" s="18"/>
    </row>
    <row r="875" spans="3:4" ht="15.75" customHeight="1" x14ac:dyDescent="0.25">
      <c r="C875" s="18"/>
      <c r="D875" s="18"/>
    </row>
    <row r="876" spans="3:4" ht="15.75" customHeight="1" x14ac:dyDescent="0.25">
      <c r="C876" s="18"/>
      <c r="D876" s="18"/>
    </row>
    <row r="877" spans="3:4" ht="15.75" customHeight="1" x14ac:dyDescent="0.25">
      <c r="C877" s="18"/>
      <c r="D877" s="18"/>
    </row>
    <row r="878" spans="3:4" ht="15.75" customHeight="1" x14ac:dyDescent="0.25">
      <c r="C878" s="18"/>
      <c r="D878" s="18"/>
    </row>
    <row r="879" spans="3:4" ht="15.75" customHeight="1" x14ac:dyDescent="0.25">
      <c r="C879" s="18"/>
      <c r="D879" s="18"/>
    </row>
    <row r="880" spans="3:4" ht="15.75" customHeight="1" x14ac:dyDescent="0.25">
      <c r="C880" s="18"/>
      <c r="D880" s="18"/>
    </row>
    <row r="881" spans="3:4" ht="15.75" customHeight="1" x14ac:dyDescent="0.25">
      <c r="C881" s="18"/>
      <c r="D881" s="18"/>
    </row>
    <row r="882" spans="3:4" ht="15.75" customHeight="1" x14ac:dyDescent="0.25">
      <c r="C882" s="18"/>
      <c r="D882" s="18"/>
    </row>
    <row r="883" spans="3:4" ht="15.75" customHeight="1" x14ac:dyDescent="0.25">
      <c r="C883" s="18"/>
      <c r="D883" s="18"/>
    </row>
    <row r="884" spans="3:4" ht="15.75" customHeight="1" x14ac:dyDescent="0.25">
      <c r="C884" s="18"/>
      <c r="D884" s="18"/>
    </row>
    <row r="885" spans="3:4" ht="15.75" customHeight="1" x14ac:dyDescent="0.25">
      <c r="C885" s="18"/>
      <c r="D885" s="18"/>
    </row>
    <row r="886" spans="3:4" ht="15.75" customHeight="1" x14ac:dyDescent="0.25">
      <c r="C886" s="18"/>
      <c r="D886" s="18"/>
    </row>
    <row r="887" spans="3:4" ht="15.75" customHeight="1" x14ac:dyDescent="0.25">
      <c r="C887" s="18"/>
      <c r="D887" s="18"/>
    </row>
    <row r="888" spans="3:4" ht="15.75" customHeight="1" x14ac:dyDescent="0.25">
      <c r="C888" s="18"/>
      <c r="D888" s="18"/>
    </row>
    <row r="889" spans="3:4" ht="15.75" customHeight="1" x14ac:dyDescent="0.25">
      <c r="C889" s="18"/>
      <c r="D889" s="18"/>
    </row>
    <row r="890" spans="3:4" ht="15.75" customHeight="1" x14ac:dyDescent="0.25">
      <c r="C890" s="18"/>
      <c r="D890" s="18"/>
    </row>
    <row r="891" spans="3:4" ht="15.75" customHeight="1" x14ac:dyDescent="0.25">
      <c r="C891" s="18"/>
      <c r="D891" s="18"/>
    </row>
    <row r="892" spans="3:4" ht="15.75" customHeight="1" x14ac:dyDescent="0.25">
      <c r="C892" s="18"/>
      <c r="D892" s="18"/>
    </row>
    <row r="893" spans="3:4" ht="15.75" customHeight="1" x14ac:dyDescent="0.25">
      <c r="C893" s="18"/>
      <c r="D893" s="18"/>
    </row>
    <row r="894" spans="3:4" ht="15.75" customHeight="1" x14ac:dyDescent="0.25">
      <c r="C894" s="18"/>
      <c r="D894" s="18"/>
    </row>
    <row r="895" spans="3:4" ht="15.75" customHeight="1" x14ac:dyDescent="0.25">
      <c r="C895" s="18"/>
      <c r="D895" s="18"/>
    </row>
    <row r="896" spans="3:4" ht="15.75" customHeight="1" x14ac:dyDescent="0.25">
      <c r="C896" s="18"/>
      <c r="D896" s="18"/>
    </row>
    <row r="897" spans="3:4" ht="15.75" customHeight="1" x14ac:dyDescent="0.25">
      <c r="C897" s="18"/>
      <c r="D897" s="18"/>
    </row>
    <row r="898" spans="3:4" ht="15.75" customHeight="1" x14ac:dyDescent="0.25">
      <c r="C898" s="18"/>
      <c r="D898" s="18"/>
    </row>
    <row r="899" spans="3:4" ht="15.75" customHeight="1" x14ac:dyDescent="0.25">
      <c r="C899" s="18"/>
      <c r="D899" s="18"/>
    </row>
    <row r="900" spans="3:4" ht="15.75" customHeight="1" x14ac:dyDescent="0.25">
      <c r="C900" s="18"/>
      <c r="D900" s="18"/>
    </row>
    <row r="901" spans="3:4" ht="15.75" customHeight="1" x14ac:dyDescent="0.25">
      <c r="C901" s="18"/>
      <c r="D901" s="18"/>
    </row>
    <row r="902" spans="3:4" ht="15.75" customHeight="1" x14ac:dyDescent="0.25">
      <c r="C902" s="18"/>
      <c r="D902" s="18"/>
    </row>
    <row r="903" spans="3:4" ht="15.75" customHeight="1" x14ac:dyDescent="0.25">
      <c r="C903" s="18"/>
      <c r="D903" s="18"/>
    </row>
    <row r="904" spans="3:4" ht="15.75" customHeight="1" x14ac:dyDescent="0.25">
      <c r="C904" s="18"/>
      <c r="D904" s="18"/>
    </row>
    <row r="905" spans="3:4" ht="15.75" customHeight="1" x14ac:dyDescent="0.25">
      <c r="C905" s="18"/>
      <c r="D905" s="18"/>
    </row>
    <row r="906" spans="3:4" ht="15.75" customHeight="1" x14ac:dyDescent="0.25">
      <c r="C906" s="18"/>
      <c r="D906" s="18"/>
    </row>
    <row r="907" spans="3:4" ht="15.75" customHeight="1" x14ac:dyDescent="0.25">
      <c r="C907" s="18"/>
      <c r="D907" s="18"/>
    </row>
    <row r="908" spans="3:4" ht="15.75" customHeight="1" x14ac:dyDescent="0.25">
      <c r="C908" s="18"/>
      <c r="D908" s="18"/>
    </row>
    <row r="909" spans="3:4" ht="15.75" customHeight="1" x14ac:dyDescent="0.25">
      <c r="C909" s="18"/>
      <c r="D909" s="18"/>
    </row>
    <row r="910" spans="3:4" ht="15.75" customHeight="1" x14ac:dyDescent="0.25">
      <c r="C910" s="18"/>
      <c r="D910" s="18"/>
    </row>
    <row r="911" spans="3:4" ht="15.75" customHeight="1" x14ac:dyDescent="0.25">
      <c r="C911" s="18"/>
      <c r="D911" s="18"/>
    </row>
    <row r="912" spans="3:4" ht="15.75" customHeight="1" x14ac:dyDescent="0.25">
      <c r="C912" s="18"/>
      <c r="D912" s="18"/>
    </row>
    <row r="913" spans="3:4" ht="15.75" customHeight="1" x14ac:dyDescent="0.25">
      <c r="C913" s="18"/>
      <c r="D913" s="18"/>
    </row>
    <row r="914" spans="3:4" ht="15.75" customHeight="1" x14ac:dyDescent="0.25">
      <c r="C914" s="18"/>
      <c r="D914" s="18"/>
    </row>
    <row r="915" spans="3:4" ht="15.75" customHeight="1" x14ac:dyDescent="0.25">
      <c r="C915" s="18"/>
      <c r="D915" s="18"/>
    </row>
    <row r="916" spans="3:4" ht="15.75" customHeight="1" x14ac:dyDescent="0.25">
      <c r="C916" s="18"/>
      <c r="D916" s="18"/>
    </row>
    <row r="917" spans="3:4" ht="15.75" customHeight="1" x14ac:dyDescent="0.25">
      <c r="C917" s="18"/>
      <c r="D917" s="18"/>
    </row>
    <row r="918" spans="3:4" ht="15.75" customHeight="1" x14ac:dyDescent="0.25">
      <c r="C918" s="18"/>
      <c r="D918" s="18"/>
    </row>
    <row r="919" spans="3:4" ht="15.75" customHeight="1" x14ac:dyDescent="0.25">
      <c r="C919" s="18"/>
      <c r="D919" s="18"/>
    </row>
    <row r="920" spans="3:4" ht="15.75" customHeight="1" x14ac:dyDescent="0.25">
      <c r="C920" s="18"/>
      <c r="D920" s="18"/>
    </row>
    <row r="921" spans="3:4" ht="15.75" customHeight="1" x14ac:dyDescent="0.25">
      <c r="C921" s="18"/>
      <c r="D921" s="18"/>
    </row>
    <row r="922" spans="3:4" ht="15.75" customHeight="1" x14ac:dyDescent="0.25">
      <c r="C922" s="18"/>
      <c r="D922" s="18"/>
    </row>
    <row r="923" spans="3:4" ht="15.75" customHeight="1" x14ac:dyDescent="0.25">
      <c r="C923" s="18"/>
      <c r="D923" s="18"/>
    </row>
    <row r="924" spans="3:4" ht="15.75" customHeight="1" x14ac:dyDescent="0.25">
      <c r="C924" s="18"/>
      <c r="D924" s="18"/>
    </row>
    <row r="925" spans="3:4" ht="15.75" customHeight="1" x14ac:dyDescent="0.25">
      <c r="C925" s="18"/>
      <c r="D925" s="18"/>
    </row>
    <row r="926" spans="3:4" ht="15.75" customHeight="1" x14ac:dyDescent="0.25">
      <c r="C926" s="18"/>
      <c r="D926" s="18"/>
    </row>
    <row r="927" spans="3:4" ht="15.75" customHeight="1" x14ac:dyDescent="0.25">
      <c r="C927" s="18"/>
      <c r="D927" s="18"/>
    </row>
    <row r="928" spans="3:4" ht="15.75" customHeight="1" x14ac:dyDescent="0.25">
      <c r="C928" s="18"/>
      <c r="D928" s="18"/>
    </row>
    <row r="929" spans="3:4" ht="15.75" customHeight="1" x14ac:dyDescent="0.25">
      <c r="C929" s="18"/>
      <c r="D929" s="18"/>
    </row>
    <row r="930" spans="3:4" ht="15.75" customHeight="1" x14ac:dyDescent="0.25">
      <c r="C930" s="18"/>
      <c r="D930" s="18"/>
    </row>
    <row r="931" spans="3:4" ht="15.75" customHeight="1" x14ac:dyDescent="0.25">
      <c r="C931" s="18"/>
      <c r="D931" s="18"/>
    </row>
    <row r="932" spans="3:4" ht="15.75" customHeight="1" x14ac:dyDescent="0.25">
      <c r="C932" s="18"/>
      <c r="D932" s="18"/>
    </row>
    <row r="933" spans="3:4" ht="15.75" customHeight="1" x14ac:dyDescent="0.25">
      <c r="C933" s="18"/>
      <c r="D933" s="18"/>
    </row>
    <row r="934" spans="3:4" ht="15.75" customHeight="1" x14ac:dyDescent="0.25">
      <c r="C934" s="18"/>
      <c r="D934" s="18"/>
    </row>
    <row r="935" spans="3:4" ht="15.75" customHeight="1" x14ac:dyDescent="0.25">
      <c r="C935" s="18"/>
      <c r="D935" s="18"/>
    </row>
    <row r="936" spans="3:4" ht="15.75" customHeight="1" x14ac:dyDescent="0.25">
      <c r="C936" s="18"/>
      <c r="D936" s="18"/>
    </row>
    <row r="937" spans="3:4" ht="15.75" customHeight="1" x14ac:dyDescent="0.25">
      <c r="C937" s="18"/>
      <c r="D937" s="18"/>
    </row>
    <row r="938" spans="3:4" ht="15.75" customHeight="1" x14ac:dyDescent="0.25">
      <c r="C938" s="18"/>
      <c r="D938" s="18"/>
    </row>
    <row r="939" spans="3:4" ht="15.75" customHeight="1" x14ac:dyDescent="0.25">
      <c r="C939" s="18"/>
      <c r="D939" s="18"/>
    </row>
    <row r="940" spans="3:4" ht="15.75" customHeight="1" x14ac:dyDescent="0.25">
      <c r="C940" s="18"/>
      <c r="D940" s="18"/>
    </row>
    <row r="941" spans="3:4" ht="15.75" customHeight="1" x14ac:dyDescent="0.25">
      <c r="C941" s="18"/>
      <c r="D941" s="18"/>
    </row>
    <row r="942" spans="3:4" ht="15.75" customHeight="1" x14ac:dyDescent="0.25">
      <c r="C942" s="18"/>
      <c r="D942" s="18"/>
    </row>
    <row r="943" spans="3:4" ht="15.75" customHeight="1" x14ac:dyDescent="0.25">
      <c r="C943" s="18"/>
      <c r="D943" s="18"/>
    </row>
    <row r="944" spans="3:4" ht="15.75" customHeight="1" x14ac:dyDescent="0.25">
      <c r="C944" s="18"/>
      <c r="D944" s="18"/>
    </row>
    <row r="945" spans="3:4" ht="15.75" customHeight="1" x14ac:dyDescent="0.25">
      <c r="C945" s="18"/>
      <c r="D945" s="18"/>
    </row>
    <row r="946" spans="3:4" ht="15.75" customHeight="1" x14ac:dyDescent="0.25">
      <c r="C946" s="18"/>
      <c r="D946" s="18"/>
    </row>
    <row r="947" spans="3:4" ht="15.75" customHeight="1" x14ac:dyDescent="0.25">
      <c r="C947" s="18"/>
      <c r="D947" s="18"/>
    </row>
    <row r="948" spans="3:4" ht="15.75" customHeight="1" x14ac:dyDescent="0.25">
      <c r="C948" s="18"/>
      <c r="D948" s="18"/>
    </row>
    <row r="949" spans="3:4" ht="15.75" customHeight="1" x14ac:dyDescent="0.25">
      <c r="C949" s="18"/>
      <c r="D949" s="18"/>
    </row>
    <row r="950" spans="3:4" ht="15.75" customHeight="1" x14ac:dyDescent="0.25">
      <c r="C950" s="18"/>
      <c r="D950" s="18"/>
    </row>
    <row r="951" spans="3:4" ht="15.75" customHeight="1" x14ac:dyDescent="0.25">
      <c r="C951" s="18"/>
      <c r="D951" s="18"/>
    </row>
    <row r="952" spans="3:4" ht="15.75" customHeight="1" x14ac:dyDescent="0.25">
      <c r="C952" s="18"/>
      <c r="D952" s="18"/>
    </row>
    <row r="953" spans="3:4" ht="15.75" customHeight="1" x14ac:dyDescent="0.25">
      <c r="C953" s="18"/>
      <c r="D953" s="18"/>
    </row>
    <row r="954" spans="3:4" ht="15.75" customHeight="1" x14ac:dyDescent="0.25">
      <c r="C954" s="18"/>
      <c r="D954" s="18"/>
    </row>
    <row r="955" spans="3:4" ht="15.75" customHeight="1" x14ac:dyDescent="0.25">
      <c r="C955" s="18"/>
      <c r="D955" s="18"/>
    </row>
    <row r="956" spans="3:4" ht="15.75" customHeight="1" x14ac:dyDescent="0.25">
      <c r="C956" s="18"/>
      <c r="D956" s="18"/>
    </row>
    <row r="957" spans="3:4" ht="15.75" customHeight="1" x14ac:dyDescent="0.25">
      <c r="C957" s="18"/>
      <c r="D957" s="18"/>
    </row>
    <row r="958" spans="3:4" ht="15.75" customHeight="1" x14ac:dyDescent="0.25">
      <c r="C958" s="18"/>
      <c r="D958" s="18"/>
    </row>
    <row r="959" spans="3:4" ht="15.75" customHeight="1" x14ac:dyDescent="0.25">
      <c r="C959" s="18"/>
      <c r="D959" s="18"/>
    </row>
    <row r="960" spans="3:4" ht="15.75" customHeight="1" x14ac:dyDescent="0.25">
      <c r="C960" s="18"/>
      <c r="D960" s="18"/>
    </row>
    <row r="961" spans="3:4" ht="15.75" customHeight="1" x14ac:dyDescent="0.25">
      <c r="C961" s="18"/>
      <c r="D961" s="18"/>
    </row>
    <row r="962" spans="3:4" ht="15.75" customHeight="1" x14ac:dyDescent="0.25">
      <c r="C962" s="18"/>
      <c r="D962" s="18"/>
    </row>
    <row r="963" spans="3:4" ht="15.75" customHeight="1" x14ac:dyDescent="0.25">
      <c r="C963" s="18"/>
      <c r="D963" s="18"/>
    </row>
    <row r="964" spans="3:4" ht="15.75" customHeight="1" x14ac:dyDescent="0.25">
      <c r="C964" s="18"/>
      <c r="D964" s="18"/>
    </row>
    <row r="965" spans="3:4" ht="15.75" customHeight="1" x14ac:dyDescent="0.25">
      <c r="C965" s="18"/>
      <c r="D965" s="18"/>
    </row>
    <row r="966" spans="3:4" ht="15.75" customHeight="1" x14ac:dyDescent="0.25">
      <c r="C966" s="18"/>
      <c r="D966" s="18"/>
    </row>
    <row r="967" spans="3:4" ht="15.75" customHeight="1" x14ac:dyDescent="0.25">
      <c r="C967" s="18"/>
      <c r="D967" s="18"/>
    </row>
    <row r="968" spans="3:4" ht="15.75" customHeight="1" x14ac:dyDescent="0.25">
      <c r="C968" s="18"/>
      <c r="D968" s="18"/>
    </row>
    <row r="969" spans="3:4" ht="15.75" customHeight="1" x14ac:dyDescent="0.25">
      <c r="C969" s="18"/>
      <c r="D969" s="18"/>
    </row>
    <row r="970" spans="3:4" ht="15.75" customHeight="1" x14ac:dyDescent="0.25"/>
    <row r="971" spans="3:4" ht="15.75" customHeight="1" x14ac:dyDescent="0.25"/>
    <row r="972" spans="3:4" ht="15.75" customHeight="1" x14ac:dyDescent="0.25"/>
    <row r="973" spans="3:4" ht="15.75" customHeight="1" x14ac:dyDescent="0.25"/>
    <row r="974" spans="3:4" ht="15.75" customHeight="1" x14ac:dyDescent="0.25"/>
    <row r="975" spans="3:4" ht="15.75" customHeight="1" x14ac:dyDescent="0.25"/>
    <row r="976" spans="3:4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mergeCells count="2">
    <mergeCell ref="A1:A2"/>
    <mergeCell ref="B1:B2"/>
  </mergeCells>
  <pageMargins left="0.7" right="0.7" top="0.75" bottom="0.75" header="0" footer="0"/>
  <pageSetup paperSize="9" orientation="portrait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B2:D1000"/>
  <sheetViews>
    <sheetView workbookViewId="0">
      <selection activeCell="B24" sqref="B24"/>
    </sheetView>
  </sheetViews>
  <sheetFormatPr defaultColWidth="14.42578125" defaultRowHeight="15" customHeight="1" x14ac:dyDescent="0.25"/>
  <cols>
    <col min="1" max="1" width="8.7109375" customWidth="1"/>
    <col min="2" max="2" width="16.85546875" customWidth="1"/>
    <col min="3" max="3" width="10.5703125" customWidth="1"/>
    <col min="4" max="26" width="8.7109375" customWidth="1"/>
  </cols>
  <sheetData>
    <row r="2" spans="2:4" x14ac:dyDescent="0.25">
      <c r="B2" s="1" t="s">
        <v>4</v>
      </c>
      <c r="C2" s="1" t="s">
        <v>3</v>
      </c>
      <c r="D2" s="1" t="s">
        <v>5</v>
      </c>
    </row>
    <row r="3" spans="2:4" x14ac:dyDescent="0.25">
      <c r="B3" s="9" t="s">
        <v>20</v>
      </c>
      <c r="C3" s="1" t="s">
        <v>72</v>
      </c>
      <c r="D3" s="1" t="s">
        <v>12</v>
      </c>
    </row>
    <row r="4" spans="2:4" x14ac:dyDescent="0.25">
      <c r="B4" s="9" t="s">
        <v>22</v>
      </c>
      <c r="C4" s="1" t="s">
        <v>8</v>
      </c>
      <c r="D4" s="1" t="s">
        <v>17</v>
      </c>
    </row>
    <row r="5" spans="2:4" x14ac:dyDescent="0.25">
      <c r="B5" s="9" t="s">
        <v>26</v>
      </c>
    </row>
    <row r="6" spans="2:4" x14ac:dyDescent="0.25">
      <c r="B6" s="9" t="s">
        <v>108</v>
      </c>
    </row>
    <row r="7" spans="2:4" x14ac:dyDescent="0.25">
      <c r="B7" s="9" t="s">
        <v>114</v>
      </c>
    </row>
    <row r="8" spans="2:4" x14ac:dyDescent="0.25">
      <c r="B8" s="9" t="s">
        <v>115</v>
      </c>
    </row>
    <row r="9" spans="2:4" x14ac:dyDescent="0.25">
      <c r="B9" s="9" t="s">
        <v>63</v>
      </c>
    </row>
    <row r="10" spans="2:4" x14ac:dyDescent="0.25">
      <c r="B10" s="9" t="s">
        <v>116</v>
      </c>
    </row>
    <row r="11" spans="2:4" x14ac:dyDescent="0.25">
      <c r="B11" s="10" t="s">
        <v>61</v>
      </c>
    </row>
    <row r="12" spans="2:4" x14ac:dyDescent="0.25">
      <c r="B12" s="9" t="s">
        <v>16</v>
      </c>
    </row>
    <row r="13" spans="2:4" x14ac:dyDescent="0.25">
      <c r="B13" s="9" t="s">
        <v>14</v>
      </c>
    </row>
    <row r="14" spans="2:4" x14ac:dyDescent="0.25">
      <c r="B14" s="9" t="s">
        <v>73</v>
      </c>
    </row>
    <row r="15" spans="2:4" x14ac:dyDescent="0.25">
      <c r="B15" s="9" t="s">
        <v>117</v>
      </c>
    </row>
    <row r="16" spans="2:4" x14ac:dyDescent="0.25">
      <c r="B16" s="9" t="s">
        <v>68</v>
      </c>
    </row>
    <row r="17" spans="2:2" x14ac:dyDescent="0.25">
      <c r="B17" s="9" t="s">
        <v>36</v>
      </c>
    </row>
    <row r="18" spans="2:2" x14ac:dyDescent="0.25">
      <c r="B18" s="9" t="s">
        <v>11</v>
      </c>
    </row>
    <row r="19" spans="2:2" x14ac:dyDescent="0.25">
      <c r="B19" s="9" t="s">
        <v>31</v>
      </c>
    </row>
    <row r="20" spans="2:2" x14ac:dyDescent="0.25">
      <c r="B20" s="9" t="s">
        <v>118</v>
      </c>
    </row>
    <row r="21" spans="2:2" ht="15.75" customHeight="1" x14ac:dyDescent="0.25">
      <c r="B21" s="10" t="s">
        <v>119</v>
      </c>
    </row>
    <row r="22" spans="2:2" ht="15.75" customHeight="1" x14ac:dyDescent="0.25">
      <c r="B22" s="10" t="s">
        <v>70</v>
      </c>
    </row>
    <row r="23" spans="2:2" ht="15.75" customHeight="1" x14ac:dyDescent="0.25">
      <c r="B23" s="10" t="s">
        <v>517</v>
      </c>
    </row>
    <row r="24" spans="2:2" ht="15.75" customHeight="1" x14ac:dyDescent="0.25"/>
    <row r="25" spans="2:2" ht="15.75" customHeight="1" x14ac:dyDescent="0.25"/>
    <row r="26" spans="2:2" ht="15.75" customHeight="1" x14ac:dyDescent="0.25"/>
    <row r="27" spans="2:2" ht="15.75" customHeight="1" x14ac:dyDescent="0.25"/>
    <row r="28" spans="2:2" ht="15.75" customHeight="1" x14ac:dyDescent="0.25"/>
    <row r="29" spans="2:2" ht="15.75" customHeight="1" x14ac:dyDescent="0.25"/>
    <row r="30" spans="2:2" ht="15.75" customHeight="1" x14ac:dyDescent="0.25"/>
    <row r="31" spans="2:2" ht="15.75" customHeight="1" x14ac:dyDescent="0.25"/>
    <row r="32" spans="2: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20884-E2F3-48D2-8B82-3A2F3F89CE02}">
  <dimension ref="A1:E1165"/>
  <sheetViews>
    <sheetView zoomScale="115" zoomScaleNormal="115" workbookViewId="0">
      <selection activeCell="I13" sqref="I13"/>
    </sheetView>
  </sheetViews>
  <sheetFormatPr defaultRowHeight="15" x14ac:dyDescent="0.25"/>
  <cols>
    <col min="5" max="5" width="11.85546875" bestFit="1" customWidth="1"/>
  </cols>
  <sheetData>
    <row r="1" spans="1:5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6</v>
      </c>
    </row>
    <row r="2" spans="1:5" x14ac:dyDescent="0.25">
      <c r="A2" s="2" t="s">
        <v>13</v>
      </c>
      <c r="B2" s="3">
        <v>108.76</v>
      </c>
      <c r="C2" s="2" t="s">
        <v>8</v>
      </c>
      <c r="D2" s="2" t="s">
        <v>11</v>
      </c>
      <c r="E2" s="5">
        <v>45688</v>
      </c>
    </row>
    <row r="3" spans="1:5" x14ac:dyDescent="0.25">
      <c r="A3" s="2" t="s">
        <v>133</v>
      </c>
      <c r="B3" s="3">
        <v>132.58000000000001</v>
      </c>
      <c r="C3" s="2" t="s">
        <v>8</v>
      </c>
      <c r="D3" s="2" t="s">
        <v>16</v>
      </c>
      <c r="E3" s="5">
        <v>45688</v>
      </c>
    </row>
    <row r="4" spans="1:5" x14ac:dyDescent="0.25">
      <c r="A4" s="2" t="s">
        <v>132</v>
      </c>
      <c r="B4" s="3">
        <v>350</v>
      </c>
      <c r="C4" s="2" t="s">
        <v>8</v>
      </c>
      <c r="D4" s="2" t="s">
        <v>63</v>
      </c>
      <c r="E4" s="5">
        <v>45688</v>
      </c>
    </row>
    <row r="5" spans="1:5" x14ac:dyDescent="0.25">
      <c r="A5" s="2" t="s">
        <v>25</v>
      </c>
      <c r="B5" s="3">
        <v>40</v>
      </c>
      <c r="C5" s="2" t="s">
        <v>8</v>
      </c>
      <c r="D5" s="2" t="s">
        <v>26</v>
      </c>
      <c r="E5" s="5">
        <v>45687</v>
      </c>
    </row>
    <row r="6" spans="1:5" x14ac:dyDescent="0.25">
      <c r="A6" s="2" t="s">
        <v>125</v>
      </c>
      <c r="B6" s="3">
        <v>155</v>
      </c>
      <c r="C6" s="2" t="s">
        <v>8</v>
      </c>
      <c r="D6" s="2" t="s">
        <v>11</v>
      </c>
      <c r="E6" s="5">
        <v>45687</v>
      </c>
    </row>
    <row r="7" spans="1:5" x14ac:dyDescent="0.25">
      <c r="A7" s="2" t="s">
        <v>15</v>
      </c>
      <c r="B7" s="3">
        <v>299.89999999999998</v>
      </c>
      <c r="C7" s="2" t="s">
        <v>8</v>
      </c>
      <c r="D7" s="2" t="s">
        <v>16</v>
      </c>
      <c r="E7" s="5">
        <v>45686</v>
      </c>
    </row>
    <row r="8" spans="1:5" x14ac:dyDescent="0.25">
      <c r="A8" s="2" t="s">
        <v>124</v>
      </c>
      <c r="B8" s="3">
        <v>51.8</v>
      </c>
      <c r="C8" s="2" t="s">
        <v>8</v>
      </c>
      <c r="D8" s="2" t="s">
        <v>22</v>
      </c>
      <c r="E8" s="5">
        <v>45686</v>
      </c>
    </row>
    <row r="9" spans="1:5" x14ac:dyDescent="0.25">
      <c r="A9" s="2" t="s">
        <v>126</v>
      </c>
      <c r="B9" s="3">
        <f>413.95/3</f>
        <v>137.98333333333332</v>
      </c>
      <c r="C9" s="2" t="s">
        <v>8</v>
      </c>
      <c r="D9" s="2" t="s">
        <v>22</v>
      </c>
      <c r="E9" s="5">
        <v>45685</v>
      </c>
    </row>
    <row r="10" spans="1:5" x14ac:dyDescent="0.25">
      <c r="A10" s="2" t="s">
        <v>122</v>
      </c>
      <c r="B10" s="3">
        <f>595/4</f>
        <v>148.75</v>
      </c>
      <c r="C10" s="2" t="s">
        <v>8</v>
      </c>
      <c r="D10" s="2" t="s">
        <v>14</v>
      </c>
      <c r="E10" s="5">
        <v>45685</v>
      </c>
    </row>
    <row r="11" spans="1:5" x14ac:dyDescent="0.25">
      <c r="A11" s="2" t="s">
        <v>120</v>
      </c>
      <c r="B11" s="3">
        <v>26.4</v>
      </c>
      <c r="C11" s="2" t="s">
        <v>8</v>
      </c>
      <c r="D11" s="2" t="s">
        <v>31</v>
      </c>
      <c r="E11" s="5">
        <v>45685</v>
      </c>
    </row>
    <row r="12" spans="1:5" x14ac:dyDescent="0.25">
      <c r="A12" s="2" t="s">
        <v>120</v>
      </c>
      <c r="B12" s="3">
        <v>20.97</v>
      </c>
      <c r="C12" s="2" t="s">
        <v>8</v>
      </c>
      <c r="D12" s="2" t="s">
        <v>31</v>
      </c>
      <c r="E12" s="5">
        <v>45685</v>
      </c>
    </row>
    <row r="13" spans="1:5" x14ac:dyDescent="0.25">
      <c r="A13" s="6" t="s">
        <v>7</v>
      </c>
      <c r="B13" s="3">
        <f>29.27+9.48</f>
        <v>38.75</v>
      </c>
      <c r="C13" s="6" t="s">
        <v>8</v>
      </c>
      <c r="D13" s="2" t="s">
        <v>22</v>
      </c>
      <c r="E13" s="5">
        <v>45684</v>
      </c>
    </row>
    <row r="14" spans="1:5" x14ac:dyDescent="0.25">
      <c r="A14" s="6" t="s">
        <v>9</v>
      </c>
      <c r="B14" s="7">
        <v>68.17</v>
      </c>
      <c r="C14" s="6" t="s">
        <v>8</v>
      </c>
      <c r="D14" s="2" t="s">
        <v>22</v>
      </c>
      <c r="E14" s="5">
        <v>45684</v>
      </c>
    </row>
    <row r="15" spans="1:5" x14ac:dyDescent="0.25">
      <c r="A15" s="6" t="s">
        <v>127</v>
      </c>
      <c r="B15" s="7">
        <v>100</v>
      </c>
      <c r="C15" s="6" t="s">
        <v>8</v>
      </c>
      <c r="D15" s="2" t="s">
        <v>63</v>
      </c>
      <c r="E15" s="5">
        <v>45684</v>
      </c>
    </row>
    <row r="16" spans="1:5" x14ac:dyDescent="0.25">
      <c r="A16" s="6" t="s">
        <v>10</v>
      </c>
      <c r="B16" s="3">
        <f>197.94/6</f>
        <v>32.99</v>
      </c>
      <c r="C16" s="2" t="s">
        <v>8</v>
      </c>
      <c r="D16" s="2" t="s">
        <v>11</v>
      </c>
      <c r="E16" s="5">
        <v>45683</v>
      </c>
    </row>
    <row r="17" spans="1:5" x14ac:dyDescent="0.25">
      <c r="A17" s="2" t="s">
        <v>13</v>
      </c>
      <c r="B17" s="3">
        <v>113.54</v>
      </c>
      <c r="C17" s="2" t="s">
        <v>8</v>
      </c>
      <c r="D17" s="2" t="s">
        <v>14</v>
      </c>
      <c r="E17" s="5">
        <v>45683</v>
      </c>
    </row>
    <row r="18" spans="1:5" x14ac:dyDescent="0.25">
      <c r="A18" s="2" t="s">
        <v>123</v>
      </c>
      <c r="B18" s="3">
        <v>5.96</v>
      </c>
      <c r="C18" s="2" t="s">
        <v>8</v>
      </c>
      <c r="D18" s="2" t="s">
        <v>11</v>
      </c>
      <c r="E18" s="5">
        <v>45683</v>
      </c>
    </row>
    <row r="19" spans="1:5" x14ac:dyDescent="0.25">
      <c r="A19" s="2" t="s">
        <v>15</v>
      </c>
      <c r="B19" s="3">
        <v>20.98</v>
      </c>
      <c r="C19" s="2" t="s">
        <v>8</v>
      </c>
      <c r="D19" s="2" t="s">
        <v>16</v>
      </c>
      <c r="E19" s="5">
        <v>45683</v>
      </c>
    </row>
    <row r="20" spans="1:5" x14ac:dyDescent="0.25">
      <c r="A20" s="2" t="s">
        <v>18</v>
      </c>
      <c r="B20" s="3">
        <v>30.99</v>
      </c>
      <c r="C20" s="2" t="s">
        <v>8</v>
      </c>
      <c r="D20" s="2" t="s">
        <v>16</v>
      </c>
      <c r="E20" s="5">
        <v>45683</v>
      </c>
    </row>
    <row r="21" spans="1:5" x14ac:dyDescent="0.25">
      <c r="A21" s="2" t="s">
        <v>128</v>
      </c>
      <c r="B21" s="3">
        <v>20</v>
      </c>
      <c r="C21" s="2" t="s">
        <v>8</v>
      </c>
      <c r="D21" s="2" t="s">
        <v>63</v>
      </c>
      <c r="E21" s="5">
        <v>45683</v>
      </c>
    </row>
    <row r="22" spans="1:5" x14ac:dyDescent="0.25">
      <c r="A22" s="2" t="s">
        <v>19</v>
      </c>
      <c r="B22" s="3">
        <f>598.8/12</f>
        <v>49.9</v>
      </c>
      <c r="C22" s="2" t="s">
        <v>8</v>
      </c>
      <c r="D22" s="2" t="s">
        <v>20</v>
      </c>
      <c r="E22" s="5">
        <v>45681</v>
      </c>
    </row>
    <row r="23" spans="1:5" x14ac:dyDescent="0.25">
      <c r="A23" s="2" t="s">
        <v>18</v>
      </c>
      <c r="B23" s="3">
        <v>30.99</v>
      </c>
      <c r="C23" s="2" t="s">
        <v>8</v>
      </c>
      <c r="D23" s="2" t="s">
        <v>16</v>
      </c>
      <c r="E23" s="5">
        <v>45681</v>
      </c>
    </row>
    <row r="24" spans="1:5" x14ac:dyDescent="0.25">
      <c r="A24" s="2" t="s">
        <v>21</v>
      </c>
      <c r="B24" s="3">
        <f>216/6</f>
        <v>36</v>
      </c>
      <c r="C24" s="2" t="s">
        <v>8</v>
      </c>
      <c r="D24" s="2" t="s">
        <v>22</v>
      </c>
      <c r="E24" s="5">
        <v>45680</v>
      </c>
    </row>
    <row r="25" spans="1:5" x14ac:dyDescent="0.25">
      <c r="A25" s="2" t="s">
        <v>23</v>
      </c>
      <c r="B25" s="3">
        <v>96.9</v>
      </c>
      <c r="C25" s="2" t="s">
        <v>8</v>
      </c>
      <c r="D25" s="2" t="s">
        <v>22</v>
      </c>
      <c r="E25" s="5">
        <v>45680</v>
      </c>
    </row>
    <row r="26" spans="1:5" x14ac:dyDescent="0.25">
      <c r="A26" s="2" t="s">
        <v>24</v>
      </c>
      <c r="B26" s="3">
        <v>55.5</v>
      </c>
      <c r="C26" s="2" t="s">
        <v>8</v>
      </c>
      <c r="D26" s="2" t="s">
        <v>22</v>
      </c>
      <c r="E26" s="5">
        <v>45679</v>
      </c>
    </row>
    <row r="27" spans="1:5" x14ac:dyDescent="0.25">
      <c r="A27" s="2" t="s">
        <v>25</v>
      </c>
      <c r="B27" s="3">
        <v>35</v>
      </c>
      <c r="C27" s="2" t="s">
        <v>8</v>
      </c>
      <c r="D27" s="2" t="s">
        <v>26</v>
      </c>
      <c r="E27" s="5">
        <v>45679</v>
      </c>
    </row>
    <row r="28" spans="1:5" x14ac:dyDescent="0.25">
      <c r="A28" s="2" t="s">
        <v>27</v>
      </c>
      <c r="B28" s="3">
        <v>40.58</v>
      </c>
      <c r="C28" s="2" t="s">
        <v>8</v>
      </c>
      <c r="D28" s="2" t="s">
        <v>22</v>
      </c>
      <c r="E28" s="5">
        <v>45678</v>
      </c>
    </row>
    <row r="29" spans="1:5" x14ac:dyDescent="0.25">
      <c r="A29" s="2" t="s">
        <v>28</v>
      </c>
      <c r="B29" s="3">
        <v>53.2</v>
      </c>
      <c r="C29" s="2" t="s">
        <v>8</v>
      </c>
      <c r="D29" s="2" t="s">
        <v>16</v>
      </c>
      <c r="E29" s="5">
        <v>45677</v>
      </c>
    </row>
    <row r="30" spans="1:5" x14ac:dyDescent="0.25">
      <c r="A30" s="2" t="s">
        <v>29</v>
      </c>
      <c r="B30" s="3">
        <v>178.09</v>
      </c>
      <c r="C30" s="2" t="s">
        <v>8</v>
      </c>
      <c r="D30" s="2" t="s">
        <v>22</v>
      </c>
      <c r="E30" s="5">
        <v>45677</v>
      </c>
    </row>
    <row r="31" spans="1:5" x14ac:dyDescent="0.25">
      <c r="A31" s="2" t="s">
        <v>30</v>
      </c>
      <c r="B31" s="3">
        <v>10.91</v>
      </c>
      <c r="C31" s="2" t="s">
        <v>8</v>
      </c>
      <c r="D31" s="2" t="s">
        <v>31</v>
      </c>
      <c r="E31" s="5">
        <v>45675</v>
      </c>
    </row>
    <row r="32" spans="1:5" x14ac:dyDescent="0.25">
      <c r="A32" s="2" t="s">
        <v>30</v>
      </c>
      <c r="B32" s="3">
        <v>11.98</v>
      </c>
      <c r="C32" s="2" t="s">
        <v>8</v>
      </c>
      <c r="D32" s="2" t="s">
        <v>31</v>
      </c>
      <c r="E32" s="5">
        <v>45675</v>
      </c>
    </row>
    <row r="33" spans="1:5" x14ac:dyDescent="0.25">
      <c r="A33" s="2" t="s">
        <v>32</v>
      </c>
      <c r="B33" s="3">
        <v>27.99</v>
      </c>
      <c r="C33" s="2" t="s">
        <v>8</v>
      </c>
      <c r="D33" s="2" t="s">
        <v>22</v>
      </c>
      <c r="E33" s="5">
        <v>45675</v>
      </c>
    </row>
    <row r="34" spans="1:5" x14ac:dyDescent="0.25">
      <c r="A34" s="2" t="s">
        <v>33</v>
      </c>
      <c r="B34" s="3">
        <v>19.899999999999999</v>
      </c>
      <c r="C34" s="2" t="s">
        <v>8</v>
      </c>
      <c r="D34" s="2" t="s">
        <v>20</v>
      </c>
      <c r="E34" s="5">
        <v>45674</v>
      </c>
    </row>
    <row r="35" spans="1:5" x14ac:dyDescent="0.25">
      <c r="A35" s="2" t="s">
        <v>34</v>
      </c>
      <c r="B35" s="3">
        <v>75</v>
      </c>
      <c r="C35" s="2" t="s">
        <v>8</v>
      </c>
      <c r="D35" s="2" t="s">
        <v>14</v>
      </c>
      <c r="E35" s="5">
        <v>45674</v>
      </c>
    </row>
    <row r="36" spans="1:5" x14ac:dyDescent="0.25">
      <c r="A36" s="2" t="s">
        <v>18</v>
      </c>
      <c r="B36" s="3">
        <v>29.3</v>
      </c>
      <c r="C36" s="2" t="s">
        <v>8</v>
      </c>
      <c r="D36" s="2" t="s">
        <v>16</v>
      </c>
      <c r="E36" s="5">
        <v>45674</v>
      </c>
    </row>
    <row r="37" spans="1:5" x14ac:dyDescent="0.25">
      <c r="A37" s="2" t="s">
        <v>35</v>
      </c>
      <c r="B37" s="3">
        <v>49</v>
      </c>
      <c r="C37" s="2" t="s">
        <v>8</v>
      </c>
      <c r="D37" s="2" t="s">
        <v>36</v>
      </c>
      <c r="E37" s="5">
        <v>45673</v>
      </c>
    </row>
    <row r="38" spans="1:5" x14ac:dyDescent="0.25">
      <c r="A38" s="2" t="s">
        <v>37</v>
      </c>
      <c r="B38" s="3">
        <v>110.24</v>
      </c>
      <c r="C38" s="2" t="s">
        <v>8</v>
      </c>
      <c r="D38" s="2" t="s">
        <v>22</v>
      </c>
      <c r="E38" s="5">
        <v>45672</v>
      </c>
    </row>
    <row r="39" spans="1:5" x14ac:dyDescent="0.25">
      <c r="A39" s="2" t="s">
        <v>38</v>
      </c>
      <c r="B39" s="3">
        <f>188.1/3</f>
        <v>62.699999999999996</v>
      </c>
      <c r="C39" s="2" t="s">
        <v>8</v>
      </c>
      <c r="D39" s="2" t="s">
        <v>14</v>
      </c>
      <c r="E39" s="5">
        <v>45672</v>
      </c>
    </row>
    <row r="40" spans="1:5" x14ac:dyDescent="0.25">
      <c r="A40" s="2" t="s">
        <v>39</v>
      </c>
      <c r="B40" s="3">
        <v>20.96</v>
      </c>
      <c r="C40" s="2" t="s">
        <v>8</v>
      </c>
      <c r="D40" s="2" t="s">
        <v>31</v>
      </c>
      <c r="E40" s="5">
        <v>45671</v>
      </c>
    </row>
    <row r="41" spans="1:5" x14ac:dyDescent="0.25">
      <c r="A41" s="2" t="s">
        <v>18</v>
      </c>
      <c r="B41" s="3">
        <v>30.99</v>
      </c>
      <c r="C41" s="2" t="s">
        <v>8</v>
      </c>
      <c r="D41" s="2" t="s">
        <v>16</v>
      </c>
      <c r="E41" s="5">
        <v>45664</v>
      </c>
    </row>
    <row r="42" spans="1:5" x14ac:dyDescent="0.25">
      <c r="A42" s="2" t="s">
        <v>40</v>
      </c>
      <c r="B42" s="3">
        <v>117</v>
      </c>
      <c r="C42" s="2" t="s">
        <v>8</v>
      </c>
      <c r="D42" s="2" t="s">
        <v>11</v>
      </c>
      <c r="E42" s="5">
        <v>45671</v>
      </c>
    </row>
    <row r="43" spans="1:5" x14ac:dyDescent="0.25">
      <c r="A43" s="2" t="s">
        <v>39</v>
      </c>
      <c r="B43" s="3">
        <v>18.7</v>
      </c>
      <c r="C43" s="2" t="s">
        <v>8</v>
      </c>
      <c r="D43" s="2" t="s">
        <v>31</v>
      </c>
      <c r="E43" s="5">
        <v>45671</v>
      </c>
    </row>
    <row r="44" spans="1:5" x14ac:dyDescent="0.25">
      <c r="A44" s="2" t="s">
        <v>41</v>
      </c>
      <c r="B44" s="3">
        <v>37.630000000000003</v>
      </c>
      <c r="C44" s="2" t="s">
        <v>8</v>
      </c>
      <c r="D44" s="2" t="s">
        <v>22</v>
      </c>
      <c r="E44" s="5">
        <v>45670</v>
      </c>
    </row>
    <row r="45" spans="1:5" x14ac:dyDescent="0.25">
      <c r="A45" s="2" t="s">
        <v>42</v>
      </c>
      <c r="B45" s="3">
        <f>371.02/2</f>
        <v>185.51</v>
      </c>
      <c r="C45" s="2" t="s">
        <v>8</v>
      </c>
      <c r="D45" s="2" t="s">
        <v>22</v>
      </c>
      <c r="E45" s="5">
        <v>45670</v>
      </c>
    </row>
    <row r="46" spans="1:5" x14ac:dyDescent="0.25">
      <c r="A46" s="2" t="s">
        <v>43</v>
      </c>
      <c r="B46" s="3">
        <v>267.76</v>
      </c>
      <c r="C46" s="2" t="s">
        <v>8</v>
      </c>
      <c r="D46" s="2" t="s">
        <v>31</v>
      </c>
      <c r="E46" s="5">
        <v>45670</v>
      </c>
    </row>
    <row r="47" spans="1:5" x14ac:dyDescent="0.25">
      <c r="A47" s="2" t="s">
        <v>44</v>
      </c>
      <c r="B47" s="3">
        <v>69.95</v>
      </c>
      <c r="C47" s="2" t="s">
        <v>8</v>
      </c>
      <c r="D47" s="2" t="s">
        <v>22</v>
      </c>
      <c r="E47" s="5">
        <v>45669</v>
      </c>
    </row>
    <row r="48" spans="1:5" x14ac:dyDescent="0.25">
      <c r="A48" s="2" t="s">
        <v>45</v>
      </c>
      <c r="B48" s="3">
        <v>79.8</v>
      </c>
      <c r="C48" s="2" t="s">
        <v>8</v>
      </c>
      <c r="D48" s="2" t="s">
        <v>22</v>
      </c>
      <c r="E48" s="5">
        <v>45669</v>
      </c>
    </row>
    <row r="49" spans="1:5" x14ac:dyDescent="0.25">
      <c r="A49" s="2" t="s">
        <v>46</v>
      </c>
      <c r="B49" s="3">
        <v>79</v>
      </c>
      <c r="C49" s="2" t="s">
        <v>8</v>
      </c>
      <c r="D49" s="2" t="s">
        <v>22</v>
      </c>
      <c r="E49" s="5">
        <v>45669</v>
      </c>
    </row>
    <row r="50" spans="1:5" x14ac:dyDescent="0.25">
      <c r="A50" s="2" t="s">
        <v>47</v>
      </c>
      <c r="B50" s="3">
        <v>29.99</v>
      </c>
      <c r="C50" s="2" t="s">
        <v>8</v>
      </c>
      <c r="D50" s="2" t="s">
        <v>22</v>
      </c>
      <c r="E50" s="5">
        <v>45669</v>
      </c>
    </row>
    <row r="51" spans="1:5" x14ac:dyDescent="0.25">
      <c r="A51" s="2" t="s">
        <v>48</v>
      </c>
      <c r="B51" s="3">
        <v>68.8</v>
      </c>
      <c r="C51" s="2" t="s">
        <v>8</v>
      </c>
      <c r="D51" s="2" t="s">
        <v>22</v>
      </c>
      <c r="E51" s="5">
        <v>45668</v>
      </c>
    </row>
    <row r="52" spans="1:5" x14ac:dyDescent="0.25">
      <c r="A52" s="2" t="s">
        <v>49</v>
      </c>
      <c r="B52" s="3">
        <v>11.9</v>
      </c>
      <c r="C52" s="2" t="s">
        <v>8</v>
      </c>
      <c r="D52" s="2" t="s">
        <v>14</v>
      </c>
      <c r="E52" s="5">
        <v>45667</v>
      </c>
    </row>
    <row r="53" spans="1:5" x14ac:dyDescent="0.25">
      <c r="A53" s="2" t="s">
        <v>50</v>
      </c>
      <c r="B53" s="3">
        <v>81.78</v>
      </c>
      <c r="C53" s="2" t="s">
        <v>8</v>
      </c>
      <c r="D53" s="2" t="s">
        <v>22</v>
      </c>
      <c r="E53" s="5">
        <v>45667</v>
      </c>
    </row>
    <row r="54" spans="1:5" x14ac:dyDescent="0.25">
      <c r="A54" s="2" t="s">
        <v>51</v>
      </c>
      <c r="B54" s="3">
        <v>2</v>
      </c>
      <c r="C54" s="2" t="s">
        <v>8</v>
      </c>
      <c r="D54" s="2" t="s">
        <v>11</v>
      </c>
      <c r="E54" s="5">
        <v>45667</v>
      </c>
    </row>
    <row r="55" spans="1:5" x14ac:dyDescent="0.25">
      <c r="A55" s="2" t="s">
        <v>52</v>
      </c>
      <c r="B55" s="3">
        <v>111.96</v>
      </c>
      <c r="C55" s="2" t="s">
        <v>8</v>
      </c>
      <c r="D55" s="2" t="s">
        <v>11</v>
      </c>
      <c r="E55" s="5">
        <v>45666</v>
      </c>
    </row>
    <row r="56" spans="1:5" x14ac:dyDescent="0.25">
      <c r="A56" s="2" t="s">
        <v>53</v>
      </c>
      <c r="B56" s="3">
        <v>102.46</v>
      </c>
      <c r="C56" s="2" t="s">
        <v>8</v>
      </c>
      <c r="D56" s="2" t="s">
        <v>22</v>
      </c>
      <c r="E56" s="5">
        <v>45663</v>
      </c>
    </row>
    <row r="57" spans="1:5" x14ac:dyDescent="0.25">
      <c r="A57" s="2" t="s">
        <v>54</v>
      </c>
      <c r="B57" s="3">
        <v>95.62</v>
      </c>
      <c r="C57" s="2" t="s">
        <v>8</v>
      </c>
      <c r="D57" s="2" t="s">
        <v>14</v>
      </c>
      <c r="E57" s="5">
        <v>45663</v>
      </c>
    </row>
    <row r="58" spans="1:5" x14ac:dyDescent="0.25">
      <c r="A58" s="2" t="s">
        <v>18</v>
      </c>
      <c r="B58" s="3">
        <v>20.99</v>
      </c>
      <c r="C58" s="2" t="s">
        <v>8</v>
      </c>
      <c r="D58" s="2" t="s">
        <v>16</v>
      </c>
      <c r="E58" s="5">
        <v>45663</v>
      </c>
    </row>
    <row r="59" spans="1:5" x14ac:dyDescent="0.25">
      <c r="A59" s="2" t="s">
        <v>53</v>
      </c>
      <c r="B59" s="3">
        <v>91.19</v>
      </c>
      <c r="C59" s="2" t="s">
        <v>8</v>
      </c>
      <c r="D59" s="2" t="s">
        <v>22</v>
      </c>
      <c r="E59" s="5">
        <v>45663</v>
      </c>
    </row>
    <row r="60" spans="1:5" x14ac:dyDescent="0.25">
      <c r="A60" s="2" t="s">
        <v>55</v>
      </c>
      <c r="B60" s="3">
        <v>36.22</v>
      </c>
      <c r="C60" s="2" t="s">
        <v>8</v>
      </c>
      <c r="D60" s="2" t="s">
        <v>11</v>
      </c>
      <c r="E60" s="5">
        <v>45663</v>
      </c>
    </row>
    <row r="61" spans="1:5" x14ac:dyDescent="0.25">
      <c r="A61" s="2" t="s">
        <v>56</v>
      </c>
      <c r="B61" s="3">
        <v>81.819999999999993</v>
      </c>
      <c r="C61" s="2" t="s">
        <v>8</v>
      </c>
      <c r="D61" s="2" t="s">
        <v>16</v>
      </c>
      <c r="E61" s="5">
        <v>45662</v>
      </c>
    </row>
    <row r="62" spans="1:5" x14ac:dyDescent="0.25">
      <c r="A62" s="2" t="s">
        <v>128</v>
      </c>
      <c r="B62" s="3">
        <v>20</v>
      </c>
      <c r="C62" s="2" t="s">
        <v>8</v>
      </c>
      <c r="D62" s="2" t="s">
        <v>63</v>
      </c>
      <c r="E62" s="5">
        <v>45662</v>
      </c>
    </row>
    <row r="63" spans="1:5" x14ac:dyDescent="0.25">
      <c r="A63" s="2" t="s">
        <v>121</v>
      </c>
      <c r="B63" s="3">
        <v>1948.26</v>
      </c>
      <c r="C63" s="2" t="s">
        <v>72</v>
      </c>
      <c r="D63" s="2" t="s">
        <v>73</v>
      </c>
      <c r="E63" s="5">
        <v>45658</v>
      </c>
    </row>
    <row r="64" spans="1:5" x14ac:dyDescent="0.25">
      <c r="A64" s="2" t="s">
        <v>57</v>
      </c>
      <c r="B64" s="3">
        <v>9.9</v>
      </c>
      <c r="C64" s="2" t="s">
        <v>8</v>
      </c>
      <c r="D64" s="2" t="s">
        <v>22</v>
      </c>
      <c r="E64" s="5">
        <v>45660</v>
      </c>
    </row>
    <row r="65" spans="1:5" x14ac:dyDescent="0.25">
      <c r="A65" s="2" t="s">
        <v>58</v>
      </c>
      <c r="B65" s="3">
        <v>37</v>
      </c>
      <c r="C65" s="2" t="s">
        <v>8</v>
      </c>
      <c r="D65" s="2" t="s">
        <v>22</v>
      </c>
      <c r="E65" s="5">
        <v>45660</v>
      </c>
    </row>
    <row r="66" spans="1:5" x14ac:dyDescent="0.25">
      <c r="A66" s="2" t="s">
        <v>59</v>
      </c>
      <c r="B66" s="3">
        <v>99.9</v>
      </c>
      <c r="C66" s="2" t="s">
        <v>8</v>
      </c>
      <c r="D66" s="2" t="s">
        <v>22</v>
      </c>
      <c r="E66" s="5">
        <v>45660</v>
      </c>
    </row>
    <row r="67" spans="1:5" x14ac:dyDescent="0.25">
      <c r="A67" s="2" t="s">
        <v>60</v>
      </c>
      <c r="B67" s="3">
        <v>272</v>
      </c>
      <c r="C67" s="2" t="s">
        <v>8</v>
      </c>
      <c r="D67" s="2" t="s">
        <v>61</v>
      </c>
      <c r="E67" s="5">
        <v>45660</v>
      </c>
    </row>
    <row r="68" spans="1:5" x14ac:dyDescent="0.25">
      <c r="A68" s="2" t="s">
        <v>62</v>
      </c>
      <c r="B68" s="3">
        <v>400</v>
      </c>
      <c r="C68" s="2" t="s">
        <v>8</v>
      </c>
      <c r="D68" s="2" t="s">
        <v>63</v>
      </c>
      <c r="E68" s="5">
        <v>45660</v>
      </c>
    </row>
    <row r="69" spans="1:5" x14ac:dyDescent="0.25">
      <c r="A69" s="2" t="s">
        <v>64</v>
      </c>
      <c r="B69" s="3">
        <v>0</v>
      </c>
      <c r="C69" s="2" t="s">
        <v>8</v>
      </c>
      <c r="D69" s="2" t="s">
        <v>61</v>
      </c>
      <c r="E69" s="5">
        <v>45662</v>
      </c>
    </row>
    <row r="70" spans="1:5" x14ac:dyDescent="0.25">
      <c r="A70" s="2" t="s">
        <v>65</v>
      </c>
      <c r="B70" s="3">
        <v>132.31</v>
      </c>
      <c r="C70" s="2" t="s">
        <v>8</v>
      </c>
      <c r="D70" s="2" t="s">
        <v>61</v>
      </c>
      <c r="E70" s="5">
        <v>45664</v>
      </c>
    </row>
    <row r="71" spans="1:5" x14ac:dyDescent="0.25">
      <c r="A71" s="2" t="s">
        <v>66</v>
      </c>
      <c r="B71" s="3">
        <v>150</v>
      </c>
      <c r="C71" s="2" t="s">
        <v>8</v>
      </c>
      <c r="D71" s="2" t="s">
        <v>63</v>
      </c>
      <c r="E71" s="5">
        <v>45667</v>
      </c>
    </row>
    <row r="72" spans="1:5" x14ac:dyDescent="0.25">
      <c r="A72" s="2" t="s">
        <v>67</v>
      </c>
      <c r="B72" s="3">
        <v>288</v>
      </c>
      <c r="C72" s="2" t="s">
        <v>8</v>
      </c>
      <c r="D72" s="2" t="s">
        <v>68</v>
      </c>
      <c r="E72" s="5">
        <v>45670</v>
      </c>
    </row>
    <row r="73" spans="1:5" x14ac:dyDescent="0.25">
      <c r="A73" s="2" t="s">
        <v>69</v>
      </c>
      <c r="B73" s="3">
        <v>5351.65</v>
      </c>
      <c r="C73" s="2" t="s">
        <v>8</v>
      </c>
      <c r="D73" s="2" t="s">
        <v>70</v>
      </c>
      <c r="E73" s="5">
        <v>45672</v>
      </c>
    </row>
    <row r="74" spans="1:5" x14ac:dyDescent="0.25">
      <c r="A74" s="2" t="s">
        <v>71</v>
      </c>
      <c r="B74" s="3">
        <v>5055.2</v>
      </c>
      <c r="C74" s="2" t="s">
        <v>72</v>
      </c>
      <c r="D74" s="2" t="s">
        <v>73</v>
      </c>
      <c r="E74" s="5">
        <v>45672</v>
      </c>
    </row>
    <row r="75" spans="1:5" x14ac:dyDescent="0.25">
      <c r="A75" s="2" t="s">
        <v>74</v>
      </c>
      <c r="B75" s="3">
        <v>5710.37</v>
      </c>
      <c r="C75" s="2" t="s">
        <v>72</v>
      </c>
      <c r="D75" s="2" t="s">
        <v>73</v>
      </c>
      <c r="E75" s="5">
        <v>45672</v>
      </c>
    </row>
    <row r="76" spans="1:5" x14ac:dyDescent="0.25">
      <c r="A76" s="2" t="s">
        <v>75</v>
      </c>
      <c r="B76" s="3">
        <v>60</v>
      </c>
      <c r="C76" s="2" t="s">
        <v>8</v>
      </c>
      <c r="D76" s="2" t="s">
        <v>63</v>
      </c>
      <c r="E76" s="5">
        <v>45675</v>
      </c>
    </row>
    <row r="77" spans="1:5" x14ac:dyDescent="0.25">
      <c r="A77" s="2" t="s">
        <v>76</v>
      </c>
      <c r="B77" s="3">
        <v>100</v>
      </c>
      <c r="C77" s="2" t="s">
        <v>8</v>
      </c>
      <c r="D77" s="2" t="s">
        <v>63</v>
      </c>
      <c r="E77" s="5">
        <v>45682</v>
      </c>
    </row>
    <row r="78" spans="1:5" x14ac:dyDescent="0.25">
      <c r="A78" s="2" t="s">
        <v>77</v>
      </c>
      <c r="B78" s="3">
        <v>49.9</v>
      </c>
      <c r="C78" s="2" t="s">
        <v>8</v>
      </c>
      <c r="D78" s="2" t="s">
        <v>20</v>
      </c>
      <c r="E78" s="5">
        <v>45682</v>
      </c>
    </row>
    <row r="79" spans="1:5" x14ac:dyDescent="0.25">
      <c r="A79" s="2" t="s">
        <v>78</v>
      </c>
      <c r="B79" s="3">
        <v>16.899999999999999</v>
      </c>
      <c r="C79" s="2" t="s">
        <v>8</v>
      </c>
      <c r="D79" s="2" t="s">
        <v>20</v>
      </c>
      <c r="E79" s="5">
        <v>45685</v>
      </c>
    </row>
    <row r="80" spans="1:5" x14ac:dyDescent="0.25">
      <c r="A80" s="2" t="s">
        <v>79</v>
      </c>
      <c r="B80" s="3">
        <v>1698.46</v>
      </c>
      <c r="C80" s="2" t="s">
        <v>8</v>
      </c>
      <c r="D80" s="2" t="s">
        <v>68</v>
      </c>
      <c r="E80" s="5">
        <v>45687</v>
      </c>
    </row>
    <row r="81" spans="1:5" x14ac:dyDescent="0.25">
      <c r="A81" s="2" t="s">
        <v>80</v>
      </c>
      <c r="B81" s="3">
        <v>604.1</v>
      </c>
      <c r="C81" s="2" t="s">
        <v>8</v>
      </c>
      <c r="D81" s="2" t="s">
        <v>68</v>
      </c>
      <c r="E81" s="5">
        <v>45687</v>
      </c>
    </row>
    <row r="82" spans="1:5" x14ac:dyDescent="0.25">
      <c r="A82" s="2" t="s">
        <v>81</v>
      </c>
      <c r="B82" s="3">
        <v>113.7</v>
      </c>
      <c r="C82" s="2" t="s">
        <v>8</v>
      </c>
      <c r="D82" s="2" t="s">
        <v>68</v>
      </c>
      <c r="E82" s="5">
        <v>45687</v>
      </c>
    </row>
    <row r="83" spans="1:5" x14ac:dyDescent="0.25">
      <c r="A83" s="2" t="s">
        <v>82</v>
      </c>
      <c r="B83" s="3">
        <v>50</v>
      </c>
      <c r="C83" s="2" t="s">
        <v>8</v>
      </c>
      <c r="D83" s="2" t="s">
        <v>68</v>
      </c>
      <c r="E83" s="5">
        <v>45687</v>
      </c>
    </row>
    <row r="84" spans="1:5" x14ac:dyDescent="0.25">
      <c r="A84" s="2" t="s">
        <v>83</v>
      </c>
      <c r="B84" s="3">
        <v>3165.27</v>
      </c>
      <c r="C84" s="2" t="s">
        <v>72</v>
      </c>
      <c r="D84" s="2" t="s">
        <v>73</v>
      </c>
      <c r="E84" s="5">
        <v>45687</v>
      </c>
    </row>
    <row r="85" spans="1:5" x14ac:dyDescent="0.25">
      <c r="A85" s="2" t="s">
        <v>84</v>
      </c>
      <c r="B85" s="3">
        <v>3893.29</v>
      </c>
      <c r="C85" s="2" t="s">
        <v>72</v>
      </c>
      <c r="D85" s="2" t="s">
        <v>73</v>
      </c>
      <c r="E85" s="5">
        <v>45687</v>
      </c>
    </row>
    <row r="86" spans="1:5" x14ac:dyDescent="0.25">
      <c r="A86" s="2" t="s">
        <v>85</v>
      </c>
      <c r="B86" s="2">
        <v>25.9</v>
      </c>
      <c r="C86" s="2" t="s">
        <v>8</v>
      </c>
      <c r="D86" s="2" t="s">
        <v>20</v>
      </c>
      <c r="E86" s="5">
        <v>45430</v>
      </c>
    </row>
    <row r="87" spans="1:5" x14ac:dyDescent="0.25">
      <c r="A87" s="2" t="s">
        <v>86</v>
      </c>
      <c r="B87" s="3">
        <v>64.09</v>
      </c>
      <c r="C87" s="2" t="s">
        <v>8</v>
      </c>
      <c r="D87" s="2" t="s">
        <v>14</v>
      </c>
      <c r="E87" s="5">
        <v>45597</v>
      </c>
    </row>
    <row r="88" spans="1:5" x14ac:dyDescent="0.25">
      <c r="A88" s="2" t="s">
        <v>87</v>
      </c>
      <c r="B88" s="2">
        <v>65.95</v>
      </c>
      <c r="C88" s="2" t="s">
        <v>8</v>
      </c>
      <c r="D88" s="2" t="s">
        <v>14</v>
      </c>
      <c r="E88" s="5">
        <v>45599</v>
      </c>
    </row>
    <row r="89" spans="1:5" x14ac:dyDescent="0.25">
      <c r="A89" s="2" t="s">
        <v>88</v>
      </c>
      <c r="B89" s="2">
        <v>111.56</v>
      </c>
      <c r="C89" s="2" t="s">
        <v>8</v>
      </c>
      <c r="D89" s="2" t="s">
        <v>14</v>
      </c>
      <c r="E89" s="5">
        <v>45606</v>
      </c>
    </row>
    <row r="90" spans="1:5" x14ac:dyDescent="0.25">
      <c r="A90" s="2" t="s">
        <v>89</v>
      </c>
      <c r="B90" s="2">
        <v>99.9</v>
      </c>
      <c r="C90" s="2" t="s">
        <v>8</v>
      </c>
      <c r="D90" s="2" t="s">
        <v>22</v>
      </c>
      <c r="E90" s="5">
        <v>45606</v>
      </c>
    </row>
    <row r="91" spans="1:5" x14ac:dyDescent="0.25">
      <c r="A91" s="2" t="s">
        <v>90</v>
      </c>
      <c r="B91" s="2">
        <v>57.76</v>
      </c>
      <c r="C91" s="2" t="s">
        <v>8</v>
      </c>
      <c r="D91" s="2" t="s">
        <v>11</v>
      </c>
      <c r="E91" s="5">
        <v>45607</v>
      </c>
    </row>
    <row r="92" spans="1:5" x14ac:dyDescent="0.25">
      <c r="A92" s="2" t="s">
        <v>91</v>
      </c>
      <c r="B92" s="2">
        <v>69.5</v>
      </c>
      <c r="C92" s="2" t="s">
        <v>8</v>
      </c>
      <c r="D92" s="2" t="s">
        <v>22</v>
      </c>
      <c r="E92" s="5">
        <v>45613</v>
      </c>
    </row>
    <row r="93" spans="1:5" x14ac:dyDescent="0.25">
      <c r="A93" s="2" t="s">
        <v>92</v>
      </c>
      <c r="B93" s="2">
        <v>53.98</v>
      </c>
      <c r="C93" s="2" t="s">
        <v>8</v>
      </c>
      <c r="D93" s="2" t="s">
        <v>22</v>
      </c>
      <c r="E93" s="5">
        <v>45616</v>
      </c>
    </row>
    <row r="94" spans="1:5" x14ac:dyDescent="0.25">
      <c r="A94" s="2" t="s">
        <v>93</v>
      </c>
      <c r="B94" s="2">
        <v>75.900000000000006</v>
      </c>
      <c r="C94" s="2" t="s">
        <v>8</v>
      </c>
      <c r="D94" s="2" t="s">
        <v>16</v>
      </c>
      <c r="E94" s="5">
        <v>45621</v>
      </c>
    </row>
    <row r="95" spans="1:5" x14ac:dyDescent="0.25">
      <c r="A95" s="2" t="s">
        <v>94</v>
      </c>
      <c r="B95" s="2">
        <v>105.82</v>
      </c>
      <c r="C95" s="2" t="s">
        <v>8</v>
      </c>
      <c r="D95" s="2" t="s">
        <v>14</v>
      </c>
      <c r="E95" s="5">
        <v>45627</v>
      </c>
    </row>
    <row r="96" spans="1:5" x14ac:dyDescent="0.25">
      <c r="A96" s="2" t="s">
        <v>95</v>
      </c>
      <c r="B96" s="3">
        <f>877.5/12</f>
        <v>73.125</v>
      </c>
      <c r="C96" s="2" t="s">
        <v>8</v>
      </c>
      <c r="D96" s="2" t="s">
        <v>16</v>
      </c>
      <c r="E96" s="5">
        <v>45629</v>
      </c>
    </row>
    <row r="97" spans="1:5" x14ac:dyDescent="0.25">
      <c r="A97" s="2" t="s">
        <v>96</v>
      </c>
      <c r="B97" s="2">
        <v>24.35</v>
      </c>
      <c r="C97" s="2" t="s">
        <v>8</v>
      </c>
      <c r="D97" s="2" t="s">
        <v>22</v>
      </c>
      <c r="E97" s="5">
        <v>45631</v>
      </c>
    </row>
    <row r="98" spans="1:5" x14ac:dyDescent="0.25">
      <c r="A98" s="2" t="s">
        <v>97</v>
      </c>
      <c r="B98" s="2">
        <v>46.61</v>
      </c>
      <c r="C98" s="2" t="s">
        <v>8</v>
      </c>
      <c r="D98" s="2" t="s">
        <v>22</v>
      </c>
      <c r="E98" s="5">
        <v>45657</v>
      </c>
    </row>
    <row r="99" spans="1:5" x14ac:dyDescent="0.25">
      <c r="A99" s="2" t="s">
        <v>98</v>
      </c>
      <c r="B99" s="3">
        <v>41.1</v>
      </c>
      <c r="C99" s="2" t="s">
        <v>8</v>
      </c>
      <c r="D99" s="2" t="s">
        <v>22</v>
      </c>
      <c r="E99" s="5">
        <v>45657</v>
      </c>
    </row>
    <row r="100" spans="1:5" x14ac:dyDescent="0.25">
      <c r="A100" s="2" t="s">
        <v>99</v>
      </c>
      <c r="B100" s="3">
        <v>54.3</v>
      </c>
      <c r="C100" s="2" t="s">
        <v>8</v>
      </c>
      <c r="D100" s="2" t="s">
        <v>14</v>
      </c>
      <c r="E100" s="5">
        <v>45657</v>
      </c>
    </row>
    <row r="101" spans="1:5" x14ac:dyDescent="0.25">
      <c r="A101" s="2" t="s">
        <v>100</v>
      </c>
      <c r="B101" s="3">
        <v>65</v>
      </c>
      <c r="C101" s="2" t="s">
        <v>8</v>
      </c>
      <c r="D101" s="2" t="s">
        <v>22</v>
      </c>
      <c r="E101" s="5">
        <v>45639</v>
      </c>
    </row>
    <row r="102" spans="1:5" x14ac:dyDescent="0.25">
      <c r="A102" s="2" t="s">
        <v>101</v>
      </c>
      <c r="B102" s="3">
        <v>41.42</v>
      </c>
      <c r="C102" s="2" t="s">
        <v>8</v>
      </c>
      <c r="D102" s="2" t="s">
        <v>22</v>
      </c>
      <c r="E102" s="5">
        <v>45646</v>
      </c>
    </row>
    <row r="103" spans="1:5" x14ac:dyDescent="0.25">
      <c r="A103" s="2" t="s">
        <v>102</v>
      </c>
      <c r="B103" s="3">
        <v>90.9</v>
      </c>
      <c r="C103" s="2" t="s">
        <v>8</v>
      </c>
      <c r="D103" s="2" t="s">
        <v>22</v>
      </c>
      <c r="E103" s="5">
        <v>45657</v>
      </c>
    </row>
    <row r="104" spans="1:5" x14ac:dyDescent="0.25">
      <c r="A104" s="2" t="s">
        <v>103</v>
      </c>
      <c r="B104" s="3">
        <f>139.99/2</f>
        <v>69.995000000000005</v>
      </c>
      <c r="C104" s="2" t="s">
        <v>8</v>
      </c>
      <c r="D104" s="2" t="s">
        <v>11</v>
      </c>
      <c r="E104" s="5">
        <v>45634</v>
      </c>
    </row>
    <row r="105" spans="1:5" x14ac:dyDescent="0.25">
      <c r="A105" s="2" t="s">
        <v>104</v>
      </c>
      <c r="B105" s="2">
        <v>54.6</v>
      </c>
      <c r="C105" s="2" t="s">
        <v>8</v>
      </c>
      <c r="D105" s="2" t="s">
        <v>11</v>
      </c>
      <c r="E105" s="5">
        <v>45657</v>
      </c>
    </row>
    <row r="106" spans="1:5" x14ac:dyDescent="0.25">
      <c r="A106" s="2" t="s">
        <v>105</v>
      </c>
      <c r="B106" s="3">
        <v>51.68</v>
      </c>
      <c r="C106" s="2" t="s">
        <v>8</v>
      </c>
      <c r="D106" s="2" t="s">
        <v>11</v>
      </c>
      <c r="E106" s="5">
        <v>45643</v>
      </c>
    </row>
    <row r="107" spans="1:5" x14ac:dyDescent="0.25">
      <c r="A107" s="2" t="s">
        <v>106</v>
      </c>
      <c r="B107" s="2">
        <v>82.17</v>
      </c>
      <c r="C107" s="2" t="s">
        <v>8</v>
      </c>
      <c r="D107" s="2" t="s">
        <v>14</v>
      </c>
      <c r="E107" s="5">
        <v>45657</v>
      </c>
    </row>
    <row r="108" spans="1:5" x14ac:dyDescent="0.25">
      <c r="A108" s="2" t="s">
        <v>107</v>
      </c>
      <c r="B108" s="2">
        <v>346.14</v>
      </c>
      <c r="C108" s="2" t="s">
        <v>8</v>
      </c>
      <c r="D108" s="2" t="s">
        <v>108</v>
      </c>
      <c r="E108" s="5">
        <v>45657</v>
      </c>
    </row>
    <row r="109" spans="1:5" x14ac:dyDescent="0.25">
      <c r="A109" s="2" t="s">
        <v>94</v>
      </c>
      <c r="B109" s="3">
        <v>58.15</v>
      </c>
      <c r="C109" s="2" t="s">
        <v>8</v>
      </c>
      <c r="D109" s="2" t="s">
        <v>14</v>
      </c>
      <c r="E109" s="5">
        <v>45644</v>
      </c>
    </row>
    <row r="110" spans="1:5" x14ac:dyDescent="0.25">
      <c r="A110" s="2" t="s">
        <v>109</v>
      </c>
      <c r="B110" s="3">
        <v>33.36</v>
      </c>
      <c r="C110" s="2" t="s">
        <v>8</v>
      </c>
      <c r="D110" s="2" t="s">
        <v>11</v>
      </c>
      <c r="E110" s="5">
        <v>45639</v>
      </c>
    </row>
    <row r="111" spans="1:5" x14ac:dyDescent="0.25">
      <c r="A111" s="2" t="s">
        <v>110</v>
      </c>
      <c r="B111" s="2">
        <v>44.97</v>
      </c>
      <c r="C111" s="2" t="s">
        <v>8</v>
      </c>
      <c r="D111" s="2" t="s">
        <v>14</v>
      </c>
      <c r="E111" s="5">
        <v>45657</v>
      </c>
    </row>
    <row r="112" spans="1:5" x14ac:dyDescent="0.25">
      <c r="A112" s="2" t="s">
        <v>111</v>
      </c>
      <c r="B112" s="2">
        <v>45.88</v>
      </c>
      <c r="C112" s="2" t="s">
        <v>8</v>
      </c>
      <c r="D112" s="2" t="s">
        <v>11</v>
      </c>
      <c r="E112" s="5">
        <v>45657</v>
      </c>
    </row>
    <row r="113" spans="1:5" x14ac:dyDescent="0.25">
      <c r="A113" s="2" t="s">
        <v>111</v>
      </c>
      <c r="B113" s="2">
        <v>38</v>
      </c>
      <c r="C113" s="2" t="s">
        <v>8</v>
      </c>
      <c r="D113" s="2" t="s">
        <v>11</v>
      </c>
      <c r="E113" s="5">
        <v>45657</v>
      </c>
    </row>
    <row r="114" spans="1:5" x14ac:dyDescent="0.25">
      <c r="A114" s="2" t="s">
        <v>112</v>
      </c>
      <c r="B114" s="2">
        <v>27.01</v>
      </c>
      <c r="C114" s="2" t="s">
        <v>8</v>
      </c>
      <c r="D114" s="2" t="s">
        <v>22</v>
      </c>
      <c r="E114" s="5">
        <v>45657</v>
      </c>
    </row>
    <row r="115" spans="1:5" x14ac:dyDescent="0.25">
      <c r="A115" s="2" t="s">
        <v>113</v>
      </c>
      <c r="B115" s="2">
        <v>94.57</v>
      </c>
      <c r="C115" s="2" t="s">
        <v>8</v>
      </c>
      <c r="D115" s="2" t="s">
        <v>22</v>
      </c>
      <c r="E115" s="5">
        <v>45659</v>
      </c>
    </row>
    <row r="116" spans="1:5" x14ac:dyDescent="0.25">
      <c r="A116" s="152" t="s">
        <v>134</v>
      </c>
      <c r="B116" s="152">
        <v>500</v>
      </c>
      <c r="C116" s="152" t="s">
        <v>8</v>
      </c>
      <c r="D116" s="152" t="s">
        <v>63</v>
      </c>
      <c r="E116" s="153">
        <v>45716</v>
      </c>
    </row>
    <row r="117" spans="1:5" x14ac:dyDescent="0.25">
      <c r="A117" s="154" t="s">
        <v>120</v>
      </c>
      <c r="B117" s="154">
        <v>10.95</v>
      </c>
      <c r="C117" s="154" t="s">
        <v>8</v>
      </c>
      <c r="D117" s="154" t="s">
        <v>31</v>
      </c>
      <c r="E117" s="155">
        <v>45715</v>
      </c>
    </row>
    <row r="118" spans="1:5" x14ac:dyDescent="0.25">
      <c r="A118" s="152" t="s">
        <v>135</v>
      </c>
      <c r="B118" s="152">
        <v>43.5</v>
      </c>
      <c r="C118" s="152" t="s">
        <v>8</v>
      </c>
      <c r="D118" s="152" t="s">
        <v>36</v>
      </c>
      <c r="E118" s="153">
        <v>45714</v>
      </c>
    </row>
    <row r="119" spans="1:5" x14ac:dyDescent="0.25">
      <c r="A119" s="154" t="s">
        <v>136</v>
      </c>
      <c r="B119" s="154">
        <v>101.89</v>
      </c>
      <c r="C119" s="154" t="s">
        <v>8</v>
      </c>
      <c r="D119" s="154" t="s">
        <v>22</v>
      </c>
      <c r="E119" s="155">
        <v>45713</v>
      </c>
    </row>
    <row r="120" spans="1:5" x14ac:dyDescent="0.25">
      <c r="A120" s="152" t="s">
        <v>137</v>
      </c>
      <c r="B120" s="152">
        <v>3.77</v>
      </c>
      <c r="C120" s="152" t="s">
        <v>8</v>
      </c>
      <c r="D120" s="152" t="s">
        <v>14</v>
      </c>
      <c r="E120" s="153">
        <v>45713</v>
      </c>
    </row>
    <row r="121" spans="1:5" x14ac:dyDescent="0.25">
      <c r="A121" s="154" t="s">
        <v>120</v>
      </c>
      <c r="B121" s="154">
        <v>19.399999999999999</v>
      </c>
      <c r="C121" s="154" t="s">
        <v>8</v>
      </c>
      <c r="D121" s="154" t="s">
        <v>31</v>
      </c>
      <c r="E121" s="155">
        <v>45713</v>
      </c>
    </row>
    <row r="122" spans="1:5" x14ac:dyDescent="0.25">
      <c r="A122" s="152" t="s">
        <v>138</v>
      </c>
      <c r="B122" s="152">
        <v>20</v>
      </c>
      <c r="C122" s="152" t="s">
        <v>8</v>
      </c>
      <c r="D122" s="152" t="s">
        <v>16</v>
      </c>
      <c r="E122" s="153">
        <v>45712</v>
      </c>
    </row>
    <row r="123" spans="1:5" x14ac:dyDescent="0.25">
      <c r="A123" s="154" t="s">
        <v>139</v>
      </c>
      <c r="B123" s="154">
        <f>109.38/3</f>
        <v>36.46</v>
      </c>
      <c r="C123" s="154" t="s">
        <v>8</v>
      </c>
      <c r="D123" s="154" t="s">
        <v>108</v>
      </c>
      <c r="E123" s="155">
        <v>45712</v>
      </c>
    </row>
    <row r="124" spans="1:5" x14ac:dyDescent="0.25">
      <c r="A124" s="152" t="s">
        <v>140</v>
      </c>
      <c r="B124" s="152">
        <v>40</v>
      </c>
      <c r="C124" s="152" t="s">
        <v>8</v>
      </c>
      <c r="D124" s="152" t="s">
        <v>22</v>
      </c>
      <c r="E124" s="153">
        <v>45712</v>
      </c>
    </row>
    <row r="125" spans="1:5" x14ac:dyDescent="0.25">
      <c r="A125" s="154" t="s">
        <v>141</v>
      </c>
      <c r="B125" s="154">
        <v>86.43</v>
      </c>
      <c r="C125" s="154" t="s">
        <v>8</v>
      </c>
      <c r="D125" s="154" t="s">
        <v>31</v>
      </c>
      <c r="E125" s="155">
        <v>45712</v>
      </c>
    </row>
    <row r="126" spans="1:5" x14ac:dyDescent="0.25">
      <c r="A126" s="152" t="s">
        <v>142</v>
      </c>
      <c r="B126" s="152">
        <v>39.090000000000003</v>
      </c>
      <c r="C126" s="152" t="s">
        <v>8</v>
      </c>
      <c r="D126" s="152" t="s">
        <v>14</v>
      </c>
      <c r="E126" s="153">
        <v>45712</v>
      </c>
    </row>
    <row r="127" spans="1:5" x14ac:dyDescent="0.25">
      <c r="A127" s="154" t="s">
        <v>143</v>
      </c>
      <c r="B127" s="154">
        <v>6.66</v>
      </c>
      <c r="C127" s="154" t="s">
        <v>8</v>
      </c>
      <c r="D127" s="154" t="s">
        <v>14</v>
      </c>
      <c r="E127" s="155">
        <v>45711</v>
      </c>
    </row>
    <row r="128" spans="1:5" x14ac:dyDescent="0.25">
      <c r="A128" s="152" t="s">
        <v>144</v>
      </c>
      <c r="B128" s="152">
        <v>30.5</v>
      </c>
      <c r="C128" s="152" t="s">
        <v>8</v>
      </c>
      <c r="D128" s="152" t="s">
        <v>16</v>
      </c>
      <c r="E128" s="153">
        <v>45711</v>
      </c>
    </row>
    <row r="129" spans="1:5" x14ac:dyDescent="0.25">
      <c r="A129" s="154" t="s">
        <v>145</v>
      </c>
      <c r="B129" s="154">
        <v>84.95</v>
      </c>
      <c r="C129" s="154" t="s">
        <v>8</v>
      </c>
      <c r="D129" s="154" t="s">
        <v>22</v>
      </c>
      <c r="E129" s="155">
        <v>45710</v>
      </c>
    </row>
    <row r="130" spans="1:5" x14ac:dyDescent="0.25">
      <c r="A130" s="152" t="s">
        <v>146</v>
      </c>
      <c r="B130" s="152">
        <v>50</v>
      </c>
      <c r="C130" s="152" t="s">
        <v>8</v>
      </c>
      <c r="D130" s="152" t="s">
        <v>11</v>
      </c>
      <c r="E130" s="153">
        <v>45710</v>
      </c>
    </row>
    <row r="131" spans="1:5" x14ac:dyDescent="0.25">
      <c r="A131" s="154" t="s">
        <v>147</v>
      </c>
      <c r="B131" s="154">
        <v>116.33</v>
      </c>
      <c r="C131" s="154" t="s">
        <v>8</v>
      </c>
      <c r="D131" s="154" t="s">
        <v>11</v>
      </c>
      <c r="E131" s="155">
        <v>45710</v>
      </c>
    </row>
    <row r="132" spans="1:5" x14ac:dyDescent="0.25">
      <c r="A132" s="152" t="s">
        <v>148</v>
      </c>
      <c r="B132" s="152">
        <v>14.04</v>
      </c>
      <c r="C132" s="152" t="s">
        <v>8</v>
      </c>
      <c r="D132" s="152" t="s">
        <v>16</v>
      </c>
      <c r="E132" s="153">
        <v>45709</v>
      </c>
    </row>
    <row r="133" spans="1:5" x14ac:dyDescent="0.25">
      <c r="A133" s="154" t="s">
        <v>149</v>
      </c>
      <c r="B133" s="154">
        <v>27.3</v>
      </c>
      <c r="C133" s="154" t="s">
        <v>8</v>
      </c>
      <c r="D133" s="154" t="s">
        <v>16</v>
      </c>
      <c r="E133" s="155">
        <v>45707</v>
      </c>
    </row>
    <row r="134" spans="1:5" x14ac:dyDescent="0.25">
      <c r="A134" s="152" t="s">
        <v>150</v>
      </c>
      <c r="B134" s="152">
        <v>26.83</v>
      </c>
      <c r="C134" s="152" t="s">
        <v>8</v>
      </c>
      <c r="D134" s="152" t="s">
        <v>14</v>
      </c>
      <c r="E134" s="153">
        <v>45707</v>
      </c>
    </row>
    <row r="135" spans="1:5" x14ac:dyDescent="0.25">
      <c r="A135" s="154" t="s">
        <v>151</v>
      </c>
      <c r="B135" s="154">
        <v>9.5</v>
      </c>
      <c r="C135" s="154" t="s">
        <v>8</v>
      </c>
      <c r="D135" s="154" t="s">
        <v>22</v>
      </c>
      <c r="E135" s="155">
        <v>45706</v>
      </c>
    </row>
    <row r="136" spans="1:5" x14ac:dyDescent="0.25">
      <c r="A136" s="152" t="s">
        <v>137</v>
      </c>
      <c r="B136" s="152">
        <v>10.050000000000001</v>
      </c>
      <c r="C136" s="152" t="s">
        <v>8</v>
      </c>
      <c r="D136" s="152" t="s">
        <v>14</v>
      </c>
      <c r="E136" s="153">
        <v>45706</v>
      </c>
    </row>
    <row r="137" spans="1:5" x14ac:dyDescent="0.25">
      <c r="A137" s="154" t="s">
        <v>152</v>
      </c>
      <c r="B137" s="154">
        <v>150</v>
      </c>
      <c r="C137" s="154" t="s">
        <v>8</v>
      </c>
      <c r="D137" s="154" t="s">
        <v>11</v>
      </c>
      <c r="E137" s="155">
        <v>45706</v>
      </c>
    </row>
    <row r="138" spans="1:5" x14ac:dyDescent="0.25">
      <c r="A138" s="152" t="s">
        <v>153</v>
      </c>
      <c r="B138" s="152">
        <v>13.6</v>
      </c>
      <c r="C138" s="152" t="s">
        <v>8</v>
      </c>
      <c r="D138" s="152" t="s">
        <v>36</v>
      </c>
      <c r="E138" s="153">
        <v>45706</v>
      </c>
    </row>
    <row r="139" spans="1:5" x14ac:dyDescent="0.25">
      <c r="A139" s="154" t="s">
        <v>154</v>
      </c>
      <c r="B139" s="154">
        <v>61.8</v>
      </c>
      <c r="C139" s="154" t="s">
        <v>8</v>
      </c>
      <c r="D139" s="154" t="s">
        <v>36</v>
      </c>
      <c r="E139" s="155">
        <v>45706</v>
      </c>
    </row>
    <row r="140" spans="1:5" x14ac:dyDescent="0.25">
      <c r="A140" s="152" t="s">
        <v>155</v>
      </c>
      <c r="B140" s="152">
        <v>19.899999999999999</v>
      </c>
      <c r="C140" s="152" t="s">
        <v>8</v>
      </c>
      <c r="D140" s="152" t="s">
        <v>20</v>
      </c>
      <c r="E140" s="153">
        <v>45705</v>
      </c>
    </row>
    <row r="141" spans="1:5" x14ac:dyDescent="0.25">
      <c r="A141" s="154" t="s">
        <v>156</v>
      </c>
      <c r="B141" s="154">
        <f>247.5/2</f>
        <v>123.75</v>
      </c>
      <c r="C141" s="154" t="s">
        <v>8</v>
      </c>
      <c r="D141" s="154" t="s">
        <v>14</v>
      </c>
      <c r="E141" s="155">
        <v>45705</v>
      </c>
    </row>
    <row r="142" spans="1:5" x14ac:dyDescent="0.25">
      <c r="A142" s="152" t="s">
        <v>157</v>
      </c>
      <c r="B142" s="152">
        <f>29.4/5</f>
        <v>5.88</v>
      </c>
      <c r="C142" s="152" t="s">
        <v>8</v>
      </c>
      <c r="D142" s="152" t="s">
        <v>11</v>
      </c>
      <c r="E142" s="153">
        <v>45705</v>
      </c>
    </row>
    <row r="143" spans="1:5" x14ac:dyDescent="0.25">
      <c r="A143" s="154" t="s">
        <v>158</v>
      </c>
      <c r="B143" s="154">
        <v>36.479999999999997</v>
      </c>
      <c r="C143" s="154" t="s">
        <v>8</v>
      </c>
      <c r="D143" s="154" t="s">
        <v>16</v>
      </c>
      <c r="E143" s="155">
        <v>45705</v>
      </c>
    </row>
    <row r="144" spans="1:5" x14ac:dyDescent="0.25">
      <c r="A144" s="152" t="s">
        <v>120</v>
      </c>
      <c r="B144" s="152">
        <v>23.95</v>
      </c>
      <c r="C144" s="152" t="s">
        <v>8</v>
      </c>
      <c r="D144" s="152" t="s">
        <v>31</v>
      </c>
      <c r="E144" s="153">
        <v>45705</v>
      </c>
    </row>
    <row r="145" spans="1:5" x14ac:dyDescent="0.25">
      <c r="A145" s="154" t="s">
        <v>141</v>
      </c>
      <c r="B145" s="154">
        <v>20</v>
      </c>
      <c r="C145" s="154" t="s">
        <v>8</v>
      </c>
      <c r="D145" s="154" t="s">
        <v>31</v>
      </c>
      <c r="E145" s="155">
        <v>45705</v>
      </c>
    </row>
    <row r="146" spans="1:5" x14ac:dyDescent="0.25">
      <c r="A146" s="152" t="s">
        <v>158</v>
      </c>
      <c r="B146" s="152">
        <v>36.840000000000003</v>
      </c>
      <c r="C146" s="152" t="s">
        <v>8</v>
      </c>
      <c r="D146" s="152" t="s">
        <v>16</v>
      </c>
      <c r="E146" s="153">
        <v>45703</v>
      </c>
    </row>
    <row r="147" spans="1:5" x14ac:dyDescent="0.25">
      <c r="A147" s="154" t="s">
        <v>137</v>
      </c>
      <c r="B147" s="154">
        <v>9.7899999999999991</v>
      </c>
      <c r="C147" s="154" t="s">
        <v>8</v>
      </c>
      <c r="D147" s="154" t="s">
        <v>14</v>
      </c>
      <c r="E147" s="155">
        <v>45703</v>
      </c>
    </row>
    <row r="148" spans="1:5" x14ac:dyDescent="0.25">
      <c r="A148" s="152" t="s">
        <v>159</v>
      </c>
      <c r="B148" s="152">
        <v>45</v>
      </c>
      <c r="C148" s="152" t="s">
        <v>8</v>
      </c>
      <c r="D148" s="152" t="s">
        <v>14</v>
      </c>
      <c r="E148" s="153">
        <v>45703</v>
      </c>
    </row>
    <row r="149" spans="1:5" x14ac:dyDescent="0.25">
      <c r="A149" s="154" t="s">
        <v>160</v>
      </c>
      <c r="B149" s="154">
        <v>90</v>
      </c>
      <c r="C149" s="154" t="s">
        <v>8</v>
      </c>
      <c r="D149" s="154" t="s">
        <v>11</v>
      </c>
      <c r="E149" s="155">
        <v>45703</v>
      </c>
    </row>
    <row r="150" spans="1:5" x14ac:dyDescent="0.25">
      <c r="A150" s="152" t="s">
        <v>161</v>
      </c>
      <c r="B150" s="152">
        <v>2.94</v>
      </c>
      <c r="C150" s="152" t="s">
        <v>8</v>
      </c>
      <c r="D150" s="152" t="s">
        <v>14</v>
      </c>
      <c r="E150" s="153">
        <v>45702</v>
      </c>
    </row>
    <row r="151" spans="1:5" x14ac:dyDescent="0.25">
      <c r="A151" s="154" t="s">
        <v>162</v>
      </c>
      <c r="B151" s="154">
        <v>26</v>
      </c>
      <c r="C151" s="154" t="s">
        <v>8</v>
      </c>
      <c r="D151" s="154" t="s">
        <v>31</v>
      </c>
      <c r="E151" s="155">
        <v>45702</v>
      </c>
    </row>
    <row r="152" spans="1:5" x14ac:dyDescent="0.25">
      <c r="A152" s="152" t="s">
        <v>163</v>
      </c>
      <c r="B152" s="152">
        <v>69.900000000000006</v>
      </c>
      <c r="C152" s="152" t="s">
        <v>8</v>
      </c>
      <c r="D152" s="152" t="s">
        <v>22</v>
      </c>
      <c r="E152" s="153">
        <v>45701</v>
      </c>
    </row>
    <row r="153" spans="1:5" x14ac:dyDescent="0.25">
      <c r="A153" s="154" t="s">
        <v>13</v>
      </c>
      <c r="B153" s="154">
        <v>128.04</v>
      </c>
      <c r="C153" s="154" t="s">
        <v>8</v>
      </c>
      <c r="D153" s="154" t="s">
        <v>14</v>
      </c>
      <c r="E153" s="155">
        <v>45701</v>
      </c>
    </row>
    <row r="154" spans="1:5" x14ac:dyDescent="0.25">
      <c r="A154" s="152" t="s">
        <v>164</v>
      </c>
      <c r="B154" s="156">
        <f>199/6</f>
        <v>33.166666666666664</v>
      </c>
      <c r="C154" s="152" t="s">
        <v>8</v>
      </c>
      <c r="D154" s="152" t="s">
        <v>114</v>
      </c>
      <c r="E154" s="153">
        <v>45701</v>
      </c>
    </row>
    <row r="155" spans="1:5" x14ac:dyDescent="0.25">
      <c r="A155" s="154" t="s">
        <v>165</v>
      </c>
      <c r="B155" s="154">
        <v>11.95</v>
      </c>
      <c r="C155" s="154" t="s">
        <v>8</v>
      </c>
      <c r="D155" s="154" t="s">
        <v>16</v>
      </c>
      <c r="E155" s="155">
        <v>45700</v>
      </c>
    </row>
    <row r="156" spans="1:5" x14ac:dyDescent="0.25">
      <c r="A156" s="152" t="s">
        <v>166</v>
      </c>
      <c r="B156" s="152">
        <v>149.9</v>
      </c>
      <c r="C156" s="152" t="s">
        <v>8</v>
      </c>
      <c r="D156" s="152" t="s">
        <v>114</v>
      </c>
      <c r="E156" s="153">
        <v>45700</v>
      </c>
    </row>
    <row r="157" spans="1:5" x14ac:dyDescent="0.25">
      <c r="A157" s="154" t="s">
        <v>167</v>
      </c>
      <c r="B157" s="154">
        <v>105.8</v>
      </c>
      <c r="C157" s="154" t="s">
        <v>8</v>
      </c>
      <c r="D157" s="154" t="s">
        <v>14</v>
      </c>
      <c r="E157" s="155">
        <v>45700</v>
      </c>
    </row>
    <row r="158" spans="1:5" x14ac:dyDescent="0.25">
      <c r="A158" s="152" t="s">
        <v>168</v>
      </c>
      <c r="B158" s="152">
        <v>11.87</v>
      </c>
      <c r="C158" s="152" t="s">
        <v>8</v>
      </c>
      <c r="D158" s="152" t="s">
        <v>11</v>
      </c>
      <c r="E158" s="153">
        <v>45699</v>
      </c>
    </row>
    <row r="159" spans="1:5" x14ac:dyDescent="0.25">
      <c r="A159" s="154" t="s">
        <v>169</v>
      </c>
      <c r="B159" s="154">
        <f>123.1+43.15</f>
        <v>166.25</v>
      </c>
      <c r="C159" s="154" t="s">
        <v>8</v>
      </c>
      <c r="D159" s="154" t="s">
        <v>22</v>
      </c>
      <c r="E159" s="155">
        <v>45699</v>
      </c>
    </row>
    <row r="160" spans="1:5" x14ac:dyDescent="0.25">
      <c r="A160" s="152" t="s">
        <v>151</v>
      </c>
      <c r="B160" s="152">
        <v>4</v>
      </c>
      <c r="C160" s="152" t="s">
        <v>8</v>
      </c>
      <c r="D160" s="152" t="s">
        <v>22</v>
      </c>
      <c r="E160" s="153">
        <v>45698</v>
      </c>
    </row>
    <row r="161" spans="1:5" x14ac:dyDescent="0.25">
      <c r="A161" s="154" t="s">
        <v>170</v>
      </c>
      <c r="B161" s="154">
        <v>42.66</v>
      </c>
      <c r="C161" s="154" t="s">
        <v>8</v>
      </c>
      <c r="D161" s="154" t="s">
        <v>11</v>
      </c>
      <c r="E161" s="155">
        <v>45698</v>
      </c>
    </row>
    <row r="162" spans="1:5" x14ac:dyDescent="0.25">
      <c r="A162" s="152" t="s">
        <v>171</v>
      </c>
      <c r="B162" s="152">
        <v>40.11</v>
      </c>
      <c r="C162" s="152" t="s">
        <v>8</v>
      </c>
      <c r="D162" s="152" t="s">
        <v>22</v>
      </c>
      <c r="E162" s="153">
        <v>45698</v>
      </c>
    </row>
    <row r="163" spans="1:5" x14ac:dyDescent="0.25">
      <c r="A163" s="154" t="s">
        <v>43</v>
      </c>
      <c r="B163" s="154">
        <v>100</v>
      </c>
      <c r="C163" s="154" t="s">
        <v>8</v>
      </c>
      <c r="D163" s="154" t="s">
        <v>31</v>
      </c>
      <c r="E163" s="155">
        <v>45698</v>
      </c>
    </row>
    <row r="164" spans="1:5" x14ac:dyDescent="0.25">
      <c r="A164" s="152" t="s">
        <v>172</v>
      </c>
      <c r="B164" s="152">
        <v>102</v>
      </c>
      <c r="C164" s="152" t="s">
        <v>8</v>
      </c>
      <c r="D164" s="152" t="s">
        <v>36</v>
      </c>
      <c r="E164" s="153">
        <v>45697</v>
      </c>
    </row>
    <row r="165" spans="1:5" x14ac:dyDescent="0.25">
      <c r="A165" s="154" t="s">
        <v>173</v>
      </c>
      <c r="B165" s="154">
        <v>57.1</v>
      </c>
      <c r="C165" s="154" t="s">
        <v>8</v>
      </c>
      <c r="D165" s="154" t="s">
        <v>16</v>
      </c>
      <c r="E165" s="155">
        <v>45696</v>
      </c>
    </row>
    <row r="166" spans="1:5" x14ac:dyDescent="0.25">
      <c r="A166" s="152" t="s">
        <v>18</v>
      </c>
      <c r="B166" s="152">
        <v>44</v>
      </c>
      <c r="C166" s="152" t="s">
        <v>8</v>
      </c>
      <c r="D166" s="152" t="s">
        <v>16</v>
      </c>
      <c r="E166" s="153">
        <v>45695</v>
      </c>
    </row>
    <row r="167" spans="1:5" x14ac:dyDescent="0.25">
      <c r="A167" s="154" t="s">
        <v>174</v>
      </c>
      <c r="B167" s="154">
        <v>9.9499999999999993</v>
      </c>
      <c r="C167" s="154" t="s">
        <v>8</v>
      </c>
      <c r="D167" s="154" t="s">
        <v>31</v>
      </c>
      <c r="E167" s="155">
        <v>45694</v>
      </c>
    </row>
    <row r="168" spans="1:5" x14ac:dyDescent="0.25">
      <c r="A168" s="152" t="s">
        <v>175</v>
      </c>
      <c r="B168" s="152">
        <v>90</v>
      </c>
      <c r="C168" s="152" t="s">
        <v>8</v>
      </c>
      <c r="D168" s="152" t="s">
        <v>22</v>
      </c>
      <c r="E168" s="153">
        <v>45694</v>
      </c>
    </row>
    <row r="169" spans="1:5" x14ac:dyDescent="0.25">
      <c r="A169" s="154" t="s">
        <v>176</v>
      </c>
      <c r="B169" s="154">
        <v>5</v>
      </c>
      <c r="C169" s="154" t="s">
        <v>8</v>
      </c>
      <c r="D169" s="154" t="s">
        <v>63</v>
      </c>
      <c r="E169" s="155">
        <v>45694</v>
      </c>
    </row>
    <row r="170" spans="1:5" x14ac:dyDescent="0.25">
      <c r="A170" s="152" t="s">
        <v>177</v>
      </c>
      <c r="B170" s="152">
        <v>40</v>
      </c>
      <c r="C170" s="152" t="s">
        <v>8</v>
      </c>
      <c r="D170" s="152" t="s">
        <v>11</v>
      </c>
      <c r="E170" s="153">
        <v>45693</v>
      </c>
    </row>
    <row r="171" spans="1:5" x14ac:dyDescent="0.25">
      <c r="A171" s="154" t="s">
        <v>178</v>
      </c>
      <c r="B171" s="154">
        <v>53.99</v>
      </c>
      <c r="C171" s="154" t="s">
        <v>8</v>
      </c>
      <c r="D171" s="154" t="s">
        <v>22</v>
      </c>
      <c r="E171" s="155">
        <v>45693</v>
      </c>
    </row>
    <row r="172" spans="1:5" x14ac:dyDescent="0.25">
      <c r="A172" s="152" t="s">
        <v>179</v>
      </c>
      <c r="B172" s="152">
        <v>98</v>
      </c>
      <c r="C172" s="152" t="s">
        <v>72</v>
      </c>
      <c r="D172" s="152" t="s">
        <v>73</v>
      </c>
      <c r="E172" s="153">
        <v>45692</v>
      </c>
    </row>
    <row r="173" spans="1:5" x14ac:dyDescent="0.25">
      <c r="A173" s="154" t="s">
        <v>120</v>
      </c>
      <c r="B173" s="154">
        <v>11.93</v>
      </c>
      <c r="C173" s="154" t="s">
        <v>8</v>
      </c>
      <c r="D173" s="154" t="s">
        <v>31</v>
      </c>
      <c r="E173" s="155">
        <v>45692</v>
      </c>
    </row>
    <row r="174" spans="1:5" x14ac:dyDescent="0.25">
      <c r="A174" s="152" t="s">
        <v>120</v>
      </c>
      <c r="B174" s="152">
        <v>10.99</v>
      </c>
      <c r="C174" s="152" t="s">
        <v>8</v>
      </c>
      <c r="D174" s="152" t="s">
        <v>31</v>
      </c>
      <c r="E174" s="153">
        <v>45692</v>
      </c>
    </row>
    <row r="175" spans="1:5" x14ac:dyDescent="0.25">
      <c r="A175" s="154" t="s">
        <v>180</v>
      </c>
      <c r="B175" s="154">
        <v>125.94</v>
      </c>
      <c r="C175" s="154" t="s">
        <v>8</v>
      </c>
      <c r="D175" s="154" t="s">
        <v>22</v>
      </c>
      <c r="E175" s="155">
        <v>45692</v>
      </c>
    </row>
    <row r="176" spans="1:5" x14ac:dyDescent="0.25">
      <c r="A176" s="152" t="s">
        <v>181</v>
      </c>
      <c r="B176" s="152">
        <v>235</v>
      </c>
      <c r="C176" s="152" t="s">
        <v>8</v>
      </c>
      <c r="D176" s="152" t="s">
        <v>22</v>
      </c>
      <c r="E176" s="153">
        <v>45692</v>
      </c>
    </row>
    <row r="177" spans="1:5" x14ac:dyDescent="0.25">
      <c r="A177" s="154" t="s">
        <v>182</v>
      </c>
      <c r="B177" s="154">
        <v>57.52</v>
      </c>
      <c r="C177" s="154" t="s">
        <v>8</v>
      </c>
      <c r="D177" s="154" t="s">
        <v>11</v>
      </c>
      <c r="E177" s="155">
        <v>45692</v>
      </c>
    </row>
    <row r="178" spans="1:5" x14ac:dyDescent="0.25">
      <c r="A178" s="152" t="s">
        <v>183</v>
      </c>
      <c r="B178" s="152">
        <v>56.2</v>
      </c>
      <c r="C178" s="152" t="s">
        <v>8</v>
      </c>
      <c r="D178" s="152" t="s">
        <v>16</v>
      </c>
      <c r="E178" s="153">
        <v>45691</v>
      </c>
    </row>
    <row r="179" spans="1:5" x14ac:dyDescent="0.25">
      <c r="A179" s="154" t="s">
        <v>184</v>
      </c>
      <c r="B179" s="157">
        <f>(145.67+64.44)/5</f>
        <v>42.021999999999998</v>
      </c>
      <c r="C179" s="154" t="s">
        <v>8</v>
      </c>
      <c r="D179" s="154" t="s">
        <v>14</v>
      </c>
      <c r="E179" s="155">
        <v>45691</v>
      </c>
    </row>
    <row r="180" spans="1:5" x14ac:dyDescent="0.25">
      <c r="A180" s="152" t="s">
        <v>185</v>
      </c>
      <c r="B180" s="156">
        <f>44.54*2/5</f>
        <v>17.815999999999999</v>
      </c>
      <c r="C180" s="152" t="s">
        <v>8</v>
      </c>
      <c r="D180" s="152" t="s">
        <v>22</v>
      </c>
      <c r="E180" s="153">
        <v>45691</v>
      </c>
    </row>
    <row r="181" spans="1:5" x14ac:dyDescent="0.25">
      <c r="A181" s="154" t="s">
        <v>186</v>
      </c>
      <c r="B181" s="154">
        <v>69.900000000000006</v>
      </c>
      <c r="C181" s="154" t="s">
        <v>8</v>
      </c>
      <c r="D181" s="154" t="s">
        <v>22</v>
      </c>
      <c r="E181" s="155">
        <v>45690</v>
      </c>
    </row>
    <row r="182" spans="1:5" x14ac:dyDescent="0.25">
      <c r="A182" s="152" t="s">
        <v>187</v>
      </c>
      <c r="B182" s="152">
        <v>19.96</v>
      </c>
      <c r="C182" s="152" t="s">
        <v>8</v>
      </c>
      <c r="D182" s="152" t="s">
        <v>11</v>
      </c>
      <c r="E182" s="153">
        <v>45690</v>
      </c>
    </row>
    <row r="183" spans="1:5" x14ac:dyDescent="0.25">
      <c r="A183" s="154" t="s">
        <v>188</v>
      </c>
      <c r="B183" s="154">
        <v>45.99</v>
      </c>
      <c r="C183" s="154" t="s">
        <v>8</v>
      </c>
      <c r="D183" s="154" t="s">
        <v>16</v>
      </c>
      <c r="E183" s="155">
        <v>45688</v>
      </c>
    </row>
    <row r="184" spans="1:5" x14ac:dyDescent="0.25">
      <c r="A184" s="152" t="s">
        <v>60</v>
      </c>
      <c r="B184" s="156">
        <v>272</v>
      </c>
      <c r="C184" s="152" t="s">
        <v>8</v>
      </c>
      <c r="D184" s="152" t="s">
        <v>61</v>
      </c>
      <c r="E184" s="158">
        <v>45691</v>
      </c>
    </row>
    <row r="185" spans="1:5" x14ac:dyDescent="0.25">
      <c r="A185" s="154" t="s">
        <v>62</v>
      </c>
      <c r="B185" s="157">
        <v>400</v>
      </c>
      <c r="C185" s="154" t="s">
        <v>8</v>
      </c>
      <c r="D185" s="154" t="s">
        <v>63</v>
      </c>
      <c r="E185" s="159">
        <v>45691</v>
      </c>
    </row>
    <row r="186" spans="1:5" x14ac:dyDescent="0.25">
      <c r="A186" s="152" t="s">
        <v>64</v>
      </c>
      <c r="B186" s="156">
        <v>289.89999999999998</v>
      </c>
      <c r="C186" s="152" t="s">
        <v>8</v>
      </c>
      <c r="D186" s="152" t="s">
        <v>61</v>
      </c>
      <c r="E186" s="158">
        <v>45693</v>
      </c>
    </row>
    <row r="187" spans="1:5" x14ac:dyDescent="0.25">
      <c r="A187" s="154" t="s">
        <v>66</v>
      </c>
      <c r="B187" s="157">
        <v>150</v>
      </c>
      <c r="C187" s="154" t="s">
        <v>8</v>
      </c>
      <c r="D187" s="154" t="s">
        <v>63</v>
      </c>
      <c r="E187" s="159">
        <v>45698</v>
      </c>
    </row>
    <row r="188" spans="1:5" x14ac:dyDescent="0.25">
      <c r="A188" s="152" t="s">
        <v>189</v>
      </c>
      <c r="B188" s="156">
        <v>107.12</v>
      </c>
      <c r="C188" s="152" t="s">
        <v>8</v>
      </c>
      <c r="D188" s="152" t="s">
        <v>68</v>
      </c>
      <c r="E188" s="158">
        <v>45701</v>
      </c>
    </row>
    <row r="189" spans="1:5" x14ac:dyDescent="0.25">
      <c r="A189" s="154" t="s">
        <v>69</v>
      </c>
      <c r="B189" s="157">
        <v>6261</v>
      </c>
      <c r="C189" s="154" t="s">
        <v>8</v>
      </c>
      <c r="D189" s="154" t="s">
        <v>70</v>
      </c>
      <c r="E189" s="159">
        <v>45703</v>
      </c>
    </row>
    <row r="190" spans="1:5" x14ac:dyDescent="0.25">
      <c r="A190" s="152" t="s">
        <v>71</v>
      </c>
      <c r="B190" s="156">
        <v>5679.6</v>
      </c>
      <c r="C190" s="152" t="s">
        <v>72</v>
      </c>
      <c r="D190" s="152" t="s">
        <v>73</v>
      </c>
      <c r="E190" s="158">
        <v>45703</v>
      </c>
    </row>
    <row r="191" spans="1:5" x14ac:dyDescent="0.25">
      <c r="A191" s="154" t="s">
        <v>74</v>
      </c>
      <c r="B191" s="157">
        <v>5710.37</v>
      </c>
      <c r="C191" s="154" t="s">
        <v>72</v>
      </c>
      <c r="D191" s="154" t="s">
        <v>73</v>
      </c>
      <c r="E191" s="159">
        <v>45703</v>
      </c>
    </row>
    <row r="192" spans="1:5" x14ac:dyDescent="0.25">
      <c r="A192" s="152" t="s">
        <v>75</v>
      </c>
      <c r="B192" s="156">
        <v>60</v>
      </c>
      <c r="C192" s="152" t="s">
        <v>8</v>
      </c>
      <c r="D192" s="152" t="s">
        <v>63</v>
      </c>
      <c r="E192" s="158">
        <v>45706</v>
      </c>
    </row>
    <row r="193" spans="1:5" x14ac:dyDescent="0.25">
      <c r="A193" s="154" t="s">
        <v>76</v>
      </c>
      <c r="B193" s="157">
        <v>100</v>
      </c>
      <c r="C193" s="154" t="s">
        <v>8</v>
      </c>
      <c r="D193" s="154" t="s">
        <v>63</v>
      </c>
      <c r="E193" s="159">
        <v>45713</v>
      </c>
    </row>
    <row r="194" spans="1:5" x14ac:dyDescent="0.25">
      <c r="A194" s="152" t="s">
        <v>77</v>
      </c>
      <c r="B194" s="156">
        <v>49.9</v>
      </c>
      <c r="C194" s="152" t="s">
        <v>8</v>
      </c>
      <c r="D194" s="152" t="s">
        <v>20</v>
      </c>
      <c r="E194" s="158">
        <v>45713</v>
      </c>
    </row>
    <row r="195" spans="1:5" x14ac:dyDescent="0.25">
      <c r="A195" s="154" t="s">
        <v>79</v>
      </c>
      <c r="B195" s="157">
        <v>1698.46</v>
      </c>
      <c r="C195" s="154" t="s">
        <v>8</v>
      </c>
      <c r="D195" s="154" t="s">
        <v>68</v>
      </c>
      <c r="E195" s="159">
        <v>45716</v>
      </c>
    </row>
    <row r="196" spans="1:5" x14ac:dyDescent="0.25">
      <c r="A196" s="152" t="s">
        <v>80</v>
      </c>
      <c r="B196" s="156">
        <v>604.1</v>
      </c>
      <c r="C196" s="152" t="s">
        <v>8</v>
      </c>
      <c r="D196" s="152" t="s">
        <v>68</v>
      </c>
      <c r="E196" s="158">
        <v>45716</v>
      </c>
    </row>
    <row r="197" spans="1:5" x14ac:dyDescent="0.25">
      <c r="A197" s="154" t="s">
        <v>81</v>
      </c>
      <c r="B197" s="157">
        <v>113.7</v>
      </c>
      <c r="C197" s="154" t="s">
        <v>8</v>
      </c>
      <c r="D197" s="154" t="s">
        <v>68</v>
      </c>
      <c r="E197" s="159">
        <v>45716</v>
      </c>
    </row>
    <row r="198" spans="1:5" x14ac:dyDescent="0.25">
      <c r="A198" s="152" t="s">
        <v>82</v>
      </c>
      <c r="B198" s="156">
        <v>50</v>
      </c>
      <c r="C198" s="152" t="s">
        <v>8</v>
      </c>
      <c r="D198" s="152" t="s">
        <v>68</v>
      </c>
      <c r="E198" s="158">
        <v>45716</v>
      </c>
    </row>
    <row r="199" spans="1:5" x14ac:dyDescent="0.25">
      <c r="A199" s="154" t="s">
        <v>83</v>
      </c>
      <c r="B199" s="157">
        <v>4489.33</v>
      </c>
      <c r="C199" s="154" t="s">
        <v>72</v>
      </c>
      <c r="D199" s="154" t="s">
        <v>73</v>
      </c>
      <c r="E199" s="159">
        <v>45716</v>
      </c>
    </row>
    <row r="200" spans="1:5" x14ac:dyDescent="0.25">
      <c r="A200" s="152" t="s">
        <v>84</v>
      </c>
      <c r="B200" s="156">
        <v>3165.25</v>
      </c>
      <c r="C200" s="152" t="s">
        <v>72</v>
      </c>
      <c r="D200" s="152" t="s">
        <v>73</v>
      </c>
      <c r="E200" s="158">
        <v>45716</v>
      </c>
    </row>
    <row r="201" spans="1:5" x14ac:dyDescent="0.25">
      <c r="A201" s="154" t="s">
        <v>85</v>
      </c>
      <c r="B201" s="154">
        <v>25.9</v>
      </c>
      <c r="C201" s="154" t="s">
        <v>8</v>
      </c>
      <c r="D201" s="154" t="s">
        <v>20</v>
      </c>
      <c r="E201" s="159">
        <v>45430</v>
      </c>
    </row>
    <row r="202" spans="1:5" x14ac:dyDescent="0.25">
      <c r="A202" s="152" t="s">
        <v>190</v>
      </c>
      <c r="B202" s="152">
        <v>105.82</v>
      </c>
      <c r="C202" s="152" t="s">
        <v>8</v>
      </c>
      <c r="D202" s="152" t="s">
        <v>14</v>
      </c>
      <c r="E202" s="158">
        <v>45627</v>
      </c>
    </row>
    <row r="203" spans="1:5" x14ac:dyDescent="0.25">
      <c r="A203" s="154" t="s">
        <v>191</v>
      </c>
      <c r="B203" s="157">
        <f>877.5/12</f>
        <v>73.125</v>
      </c>
      <c r="C203" s="154" t="s">
        <v>8</v>
      </c>
      <c r="D203" s="154" t="s">
        <v>16</v>
      </c>
      <c r="E203" s="159">
        <v>45629</v>
      </c>
    </row>
    <row r="204" spans="1:5" x14ac:dyDescent="0.25">
      <c r="A204" s="152" t="s">
        <v>192</v>
      </c>
      <c r="B204" s="152">
        <v>46.61</v>
      </c>
      <c r="C204" s="152" t="s">
        <v>8</v>
      </c>
      <c r="D204" s="152" t="s">
        <v>22</v>
      </c>
      <c r="E204" s="158">
        <v>45657</v>
      </c>
    </row>
    <row r="205" spans="1:5" x14ac:dyDescent="0.25">
      <c r="A205" s="154" t="s">
        <v>193</v>
      </c>
      <c r="B205" s="157">
        <v>41.1</v>
      </c>
      <c r="C205" s="154" t="s">
        <v>8</v>
      </c>
      <c r="D205" s="154" t="s">
        <v>22</v>
      </c>
      <c r="E205" s="159">
        <v>45657</v>
      </c>
    </row>
    <row r="206" spans="1:5" x14ac:dyDescent="0.25">
      <c r="A206" s="152" t="s">
        <v>194</v>
      </c>
      <c r="B206" s="156">
        <v>54.3</v>
      </c>
      <c r="C206" s="152" t="s">
        <v>8</v>
      </c>
      <c r="D206" s="152" t="s">
        <v>14</v>
      </c>
      <c r="E206" s="158">
        <v>45657</v>
      </c>
    </row>
    <row r="207" spans="1:5" x14ac:dyDescent="0.25">
      <c r="A207" s="154" t="s">
        <v>195</v>
      </c>
      <c r="B207" s="160">
        <f>10*41.42-15.21</f>
        <v>398.99000000000007</v>
      </c>
      <c r="C207" s="154" t="s">
        <v>8</v>
      </c>
      <c r="D207" s="154" t="s">
        <v>22</v>
      </c>
      <c r="E207" s="159">
        <v>45646</v>
      </c>
    </row>
    <row r="208" spans="1:5" x14ac:dyDescent="0.25">
      <c r="A208" s="152" t="s">
        <v>196</v>
      </c>
      <c r="B208" s="156">
        <v>51.68</v>
      </c>
      <c r="C208" s="152" t="s">
        <v>8</v>
      </c>
      <c r="D208" s="152" t="s">
        <v>11</v>
      </c>
      <c r="E208" s="158">
        <v>45643</v>
      </c>
    </row>
    <row r="209" spans="1:5" x14ac:dyDescent="0.25">
      <c r="A209" s="154" t="s">
        <v>197</v>
      </c>
      <c r="B209" s="154">
        <v>82.17</v>
      </c>
      <c r="C209" s="154" t="s">
        <v>8</v>
      </c>
      <c r="D209" s="154" t="s">
        <v>14</v>
      </c>
      <c r="E209" s="159">
        <v>45657</v>
      </c>
    </row>
    <row r="210" spans="1:5" x14ac:dyDescent="0.25">
      <c r="A210" s="152" t="s">
        <v>198</v>
      </c>
      <c r="B210" s="152">
        <v>346.14</v>
      </c>
      <c r="C210" s="152" t="s">
        <v>8</v>
      </c>
      <c r="D210" s="152" t="s">
        <v>108</v>
      </c>
      <c r="E210" s="158">
        <v>45657</v>
      </c>
    </row>
    <row r="211" spans="1:5" x14ac:dyDescent="0.25">
      <c r="A211" s="154" t="s">
        <v>190</v>
      </c>
      <c r="B211" s="157">
        <v>58.15</v>
      </c>
      <c r="C211" s="154" t="s">
        <v>8</v>
      </c>
      <c r="D211" s="154" t="s">
        <v>14</v>
      </c>
      <c r="E211" s="159">
        <v>45644</v>
      </c>
    </row>
    <row r="212" spans="1:5" x14ac:dyDescent="0.25">
      <c r="A212" s="152" t="s">
        <v>199</v>
      </c>
      <c r="B212" s="156">
        <v>33.36</v>
      </c>
      <c r="C212" s="152" t="s">
        <v>8</v>
      </c>
      <c r="D212" s="152" t="s">
        <v>11</v>
      </c>
      <c r="E212" s="158">
        <v>45639</v>
      </c>
    </row>
    <row r="213" spans="1:5" x14ac:dyDescent="0.25">
      <c r="A213" s="154" t="s">
        <v>200</v>
      </c>
      <c r="B213" s="154">
        <v>44.97</v>
      </c>
      <c r="C213" s="154" t="s">
        <v>8</v>
      </c>
      <c r="D213" s="154" t="s">
        <v>14</v>
      </c>
      <c r="E213" s="159">
        <v>45657</v>
      </c>
    </row>
    <row r="214" spans="1:5" x14ac:dyDescent="0.25">
      <c r="A214" s="152" t="s">
        <v>201</v>
      </c>
      <c r="B214" s="152">
        <v>27.01</v>
      </c>
      <c r="C214" s="152" t="s">
        <v>8</v>
      </c>
      <c r="D214" s="152" t="s">
        <v>22</v>
      </c>
      <c r="E214" s="158">
        <v>45657</v>
      </c>
    </row>
    <row r="215" spans="1:5" x14ac:dyDescent="0.25">
      <c r="A215" s="154" t="s">
        <v>202</v>
      </c>
      <c r="B215" s="157">
        <v>81.819999999999993</v>
      </c>
      <c r="C215" s="154" t="s">
        <v>8</v>
      </c>
      <c r="D215" s="154" t="s">
        <v>16</v>
      </c>
      <c r="E215" s="159">
        <v>45662</v>
      </c>
    </row>
    <row r="216" spans="1:5" x14ac:dyDescent="0.25">
      <c r="A216" s="152" t="s">
        <v>203</v>
      </c>
      <c r="B216" s="156">
        <v>91.19</v>
      </c>
      <c r="C216" s="152" t="s">
        <v>8</v>
      </c>
      <c r="D216" s="152" t="s">
        <v>22</v>
      </c>
      <c r="E216" s="158">
        <v>45663</v>
      </c>
    </row>
    <row r="217" spans="1:5" x14ac:dyDescent="0.25">
      <c r="A217" s="154" t="s">
        <v>204</v>
      </c>
      <c r="B217" s="157">
        <v>95.62</v>
      </c>
      <c r="C217" s="154" t="s">
        <v>8</v>
      </c>
      <c r="D217" s="154" t="s">
        <v>14</v>
      </c>
      <c r="E217" s="159">
        <v>45663</v>
      </c>
    </row>
    <row r="218" spans="1:5" x14ac:dyDescent="0.25">
      <c r="A218" s="152" t="s">
        <v>203</v>
      </c>
      <c r="B218" s="156">
        <v>102.46</v>
      </c>
      <c r="C218" s="152" t="s">
        <v>8</v>
      </c>
      <c r="D218" s="152" t="s">
        <v>22</v>
      </c>
      <c r="E218" s="158">
        <v>45663</v>
      </c>
    </row>
    <row r="219" spans="1:5" x14ac:dyDescent="0.25">
      <c r="A219" s="154" t="s">
        <v>205</v>
      </c>
      <c r="B219" s="157">
        <v>68.8</v>
      </c>
      <c r="C219" s="154" t="s">
        <v>8</v>
      </c>
      <c r="D219" s="154" t="s">
        <v>22</v>
      </c>
      <c r="E219" s="159">
        <v>45668</v>
      </c>
    </row>
    <row r="220" spans="1:5" x14ac:dyDescent="0.25">
      <c r="A220" s="152" t="s">
        <v>206</v>
      </c>
      <c r="B220" s="156">
        <v>69.95</v>
      </c>
      <c r="C220" s="152" t="s">
        <v>8</v>
      </c>
      <c r="D220" s="152" t="s">
        <v>22</v>
      </c>
      <c r="E220" s="158">
        <v>45669</v>
      </c>
    </row>
    <row r="221" spans="1:5" x14ac:dyDescent="0.25">
      <c r="A221" s="154" t="s">
        <v>207</v>
      </c>
      <c r="B221" s="157">
        <f>371.02/2</f>
        <v>185.51</v>
      </c>
      <c r="C221" s="154" t="s">
        <v>8</v>
      </c>
      <c r="D221" s="154" t="s">
        <v>22</v>
      </c>
      <c r="E221" s="159">
        <v>45670</v>
      </c>
    </row>
    <row r="222" spans="1:5" x14ac:dyDescent="0.25">
      <c r="A222" s="152" t="s">
        <v>208</v>
      </c>
      <c r="B222" s="156">
        <f>188.1/3</f>
        <v>62.699999999999996</v>
      </c>
      <c r="C222" s="152" t="s">
        <v>8</v>
      </c>
      <c r="D222" s="152" t="s">
        <v>14</v>
      </c>
      <c r="E222" s="158">
        <v>45672</v>
      </c>
    </row>
    <row r="223" spans="1:5" x14ac:dyDescent="0.25">
      <c r="A223" s="154" t="s">
        <v>209</v>
      </c>
      <c r="B223" s="157">
        <v>75</v>
      </c>
      <c r="C223" s="154" t="s">
        <v>8</v>
      </c>
      <c r="D223" s="154" t="s">
        <v>14</v>
      </c>
      <c r="E223" s="159">
        <v>45674</v>
      </c>
    </row>
    <row r="224" spans="1:5" x14ac:dyDescent="0.25">
      <c r="A224" s="152" t="s">
        <v>210</v>
      </c>
      <c r="B224" s="156">
        <v>40.58</v>
      </c>
      <c r="C224" s="152" t="s">
        <v>8</v>
      </c>
      <c r="D224" s="152" t="s">
        <v>22</v>
      </c>
      <c r="E224" s="158">
        <v>45678</v>
      </c>
    </row>
    <row r="225" spans="1:5" x14ac:dyDescent="0.25">
      <c r="A225" s="154" t="s">
        <v>211</v>
      </c>
      <c r="B225" s="157">
        <f>216/6</f>
        <v>36</v>
      </c>
      <c r="C225" s="154" t="s">
        <v>8</v>
      </c>
      <c r="D225" s="154" t="s">
        <v>22</v>
      </c>
      <c r="E225" s="159">
        <v>45680</v>
      </c>
    </row>
    <row r="226" spans="1:5" x14ac:dyDescent="0.25">
      <c r="A226" s="152" t="s">
        <v>212</v>
      </c>
      <c r="B226" s="156">
        <f>598.8/12</f>
        <v>49.9</v>
      </c>
      <c r="C226" s="152" t="s">
        <v>8</v>
      </c>
      <c r="D226" s="152" t="s">
        <v>20</v>
      </c>
      <c r="E226" s="158">
        <v>45681</v>
      </c>
    </row>
    <row r="227" spans="1:5" x14ac:dyDescent="0.25">
      <c r="A227" s="154" t="s">
        <v>213</v>
      </c>
      <c r="B227" s="157">
        <f>197.94/6</f>
        <v>32.99</v>
      </c>
      <c r="C227" s="154" t="s">
        <v>8</v>
      </c>
      <c r="D227" s="154" t="s">
        <v>11</v>
      </c>
      <c r="E227" s="159">
        <v>45683</v>
      </c>
    </row>
    <row r="228" spans="1:5" x14ac:dyDescent="0.25">
      <c r="A228" s="152" t="s">
        <v>214</v>
      </c>
      <c r="B228" s="156">
        <v>68.17</v>
      </c>
      <c r="C228" s="152" t="s">
        <v>8</v>
      </c>
      <c r="D228" s="152" t="s">
        <v>22</v>
      </c>
      <c r="E228" s="158">
        <v>45684</v>
      </c>
    </row>
    <row r="229" spans="1:5" x14ac:dyDescent="0.25">
      <c r="A229" s="154" t="s">
        <v>215</v>
      </c>
      <c r="B229" s="157">
        <f>413.95/3</f>
        <v>137.98333333333332</v>
      </c>
      <c r="C229" s="154" t="s">
        <v>8</v>
      </c>
      <c r="D229" s="154" t="s">
        <v>22</v>
      </c>
      <c r="E229" s="159">
        <v>45685</v>
      </c>
    </row>
    <row r="230" spans="1:5" x14ac:dyDescent="0.25">
      <c r="A230" s="152" t="s">
        <v>216</v>
      </c>
      <c r="B230" s="156">
        <f>595/4</f>
        <v>148.75</v>
      </c>
      <c r="C230" s="152" t="s">
        <v>8</v>
      </c>
      <c r="D230" s="152" t="s">
        <v>14</v>
      </c>
      <c r="E230" s="158">
        <v>45685</v>
      </c>
    </row>
    <row r="231" spans="1:5" x14ac:dyDescent="0.25">
      <c r="A231" s="161" t="s">
        <v>43</v>
      </c>
      <c r="B231" s="161">
        <v>13.74</v>
      </c>
      <c r="C231" s="154" t="s">
        <v>8</v>
      </c>
      <c r="D231" s="154" t="s">
        <v>31</v>
      </c>
      <c r="E231" s="162">
        <v>45716</v>
      </c>
    </row>
    <row r="232" spans="1:5" x14ac:dyDescent="0.25">
      <c r="A232" s="163" t="s">
        <v>120</v>
      </c>
      <c r="B232" s="163">
        <v>18.8</v>
      </c>
      <c r="C232" s="152" t="s">
        <v>8</v>
      </c>
      <c r="D232" s="152" t="s">
        <v>31</v>
      </c>
      <c r="E232" s="164">
        <v>45716</v>
      </c>
    </row>
    <row r="233" spans="1:5" x14ac:dyDescent="0.25">
      <c r="A233" s="161" t="s">
        <v>120</v>
      </c>
      <c r="B233" s="161">
        <v>17</v>
      </c>
      <c r="C233" s="154" t="s">
        <v>8</v>
      </c>
      <c r="D233" s="154" t="s">
        <v>31</v>
      </c>
      <c r="E233" s="162">
        <v>45716</v>
      </c>
    </row>
    <row r="234" spans="1:5" x14ac:dyDescent="0.25">
      <c r="A234" s="163" t="s">
        <v>120</v>
      </c>
      <c r="B234" s="163">
        <v>14.8</v>
      </c>
      <c r="C234" s="152" t="s">
        <v>8</v>
      </c>
      <c r="D234" s="152" t="s">
        <v>31</v>
      </c>
      <c r="E234" s="164">
        <v>45716</v>
      </c>
    </row>
    <row r="235" spans="1:5" x14ac:dyDescent="0.25">
      <c r="A235" s="161" t="s">
        <v>177</v>
      </c>
      <c r="B235" s="161">
        <v>20</v>
      </c>
      <c r="C235" s="154" t="s">
        <v>8</v>
      </c>
      <c r="D235" s="154" t="s">
        <v>22</v>
      </c>
      <c r="E235" s="162">
        <v>45716</v>
      </c>
    </row>
    <row r="236" spans="1:5" x14ac:dyDescent="0.25">
      <c r="A236" s="165" t="s">
        <v>120</v>
      </c>
      <c r="B236" s="165">
        <v>17.95</v>
      </c>
      <c r="C236" s="165" t="s">
        <v>8</v>
      </c>
      <c r="D236" s="165" t="s">
        <v>31</v>
      </c>
      <c r="E236" s="166">
        <v>45721</v>
      </c>
    </row>
    <row r="237" spans="1:5" x14ac:dyDescent="0.25">
      <c r="A237" s="160" t="s">
        <v>60</v>
      </c>
      <c r="B237" s="157">
        <v>272</v>
      </c>
      <c r="C237" s="160" t="s">
        <v>8</v>
      </c>
      <c r="D237" s="160" t="s">
        <v>61</v>
      </c>
      <c r="E237" s="159">
        <v>45719</v>
      </c>
    </row>
    <row r="238" spans="1:5" x14ac:dyDescent="0.25">
      <c r="A238" s="165" t="s">
        <v>62</v>
      </c>
      <c r="B238" s="156">
        <v>400</v>
      </c>
      <c r="C238" s="165" t="s">
        <v>8</v>
      </c>
      <c r="D238" s="165" t="s">
        <v>63</v>
      </c>
      <c r="E238" s="158">
        <v>45719</v>
      </c>
    </row>
    <row r="239" spans="1:5" x14ac:dyDescent="0.25">
      <c r="A239" s="160" t="s">
        <v>64</v>
      </c>
      <c r="B239" s="157">
        <v>289.89999999999998</v>
      </c>
      <c r="C239" s="160" t="s">
        <v>8</v>
      </c>
      <c r="D239" s="160" t="s">
        <v>61</v>
      </c>
      <c r="E239" s="159">
        <v>45721</v>
      </c>
    </row>
    <row r="240" spans="1:5" x14ac:dyDescent="0.25">
      <c r="A240" s="165" t="s">
        <v>66</v>
      </c>
      <c r="B240" s="156">
        <v>150</v>
      </c>
      <c r="C240" s="165" t="s">
        <v>8</v>
      </c>
      <c r="D240" s="165" t="s">
        <v>63</v>
      </c>
      <c r="E240" s="158">
        <v>45726</v>
      </c>
    </row>
    <row r="241" spans="1:5" x14ac:dyDescent="0.25">
      <c r="A241" s="160" t="s">
        <v>189</v>
      </c>
      <c r="B241" s="157">
        <v>137.77000000000001</v>
      </c>
      <c r="C241" s="160" t="s">
        <v>8</v>
      </c>
      <c r="D241" s="160" t="s">
        <v>68</v>
      </c>
      <c r="E241" s="159">
        <v>45729</v>
      </c>
    </row>
    <row r="242" spans="1:5" x14ac:dyDescent="0.25">
      <c r="A242" s="165" t="s">
        <v>69</v>
      </c>
      <c r="B242" s="156">
        <v>4298</v>
      </c>
      <c r="C242" s="165" t="s">
        <v>8</v>
      </c>
      <c r="D242" s="165" t="s">
        <v>70</v>
      </c>
      <c r="E242" s="158">
        <v>45731</v>
      </c>
    </row>
    <row r="243" spans="1:5" x14ac:dyDescent="0.25">
      <c r="A243" s="160" t="s">
        <v>71</v>
      </c>
      <c r="B243" s="157">
        <v>5679.6</v>
      </c>
      <c r="C243" s="160" t="s">
        <v>72</v>
      </c>
      <c r="D243" s="160" t="s">
        <v>73</v>
      </c>
      <c r="E243" s="159">
        <v>45731</v>
      </c>
    </row>
    <row r="244" spans="1:5" x14ac:dyDescent="0.25">
      <c r="A244" s="165" t="s">
        <v>74</v>
      </c>
      <c r="B244" s="156">
        <v>5710.37</v>
      </c>
      <c r="C244" s="165" t="s">
        <v>72</v>
      </c>
      <c r="D244" s="165" t="s">
        <v>73</v>
      </c>
      <c r="E244" s="158">
        <v>45731</v>
      </c>
    </row>
    <row r="245" spans="1:5" x14ac:dyDescent="0.25">
      <c r="A245" s="160" t="s">
        <v>75</v>
      </c>
      <c r="B245" s="157">
        <v>60</v>
      </c>
      <c r="C245" s="160" t="s">
        <v>8</v>
      </c>
      <c r="D245" s="160" t="s">
        <v>63</v>
      </c>
      <c r="E245" s="159">
        <v>45734</v>
      </c>
    </row>
    <row r="246" spans="1:5" x14ac:dyDescent="0.25">
      <c r="A246" s="165" t="s">
        <v>76</v>
      </c>
      <c r="B246" s="156">
        <v>100</v>
      </c>
      <c r="C246" s="165" t="s">
        <v>8</v>
      </c>
      <c r="D246" s="165" t="s">
        <v>63</v>
      </c>
      <c r="E246" s="158">
        <v>45741</v>
      </c>
    </row>
    <row r="247" spans="1:5" x14ac:dyDescent="0.25">
      <c r="A247" s="160" t="s">
        <v>77</v>
      </c>
      <c r="B247" s="157">
        <v>49.9</v>
      </c>
      <c r="C247" s="160" t="s">
        <v>8</v>
      </c>
      <c r="D247" s="160" t="s">
        <v>20</v>
      </c>
      <c r="E247" s="159">
        <v>45741</v>
      </c>
    </row>
    <row r="248" spans="1:5" x14ac:dyDescent="0.25">
      <c r="A248" s="165" t="s">
        <v>79</v>
      </c>
      <c r="B248" s="156">
        <v>1623.74</v>
      </c>
      <c r="C248" s="165" t="s">
        <v>8</v>
      </c>
      <c r="D248" s="165" t="s">
        <v>68</v>
      </c>
      <c r="E248" s="158">
        <v>45746</v>
      </c>
    </row>
    <row r="249" spans="1:5" x14ac:dyDescent="0.25">
      <c r="A249" s="160" t="s">
        <v>80</v>
      </c>
      <c r="B249" s="157">
        <v>604.1</v>
      </c>
      <c r="C249" s="160" t="s">
        <v>8</v>
      </c>
      <c r="D249" s="160" t="s">
        <v>68</v>
      </c>
      <c r="E249" s="159">
        <v>45746</v>
      </c>
    </row>
    <row r="250" spans="1:5" x14ac:dyDescent="0.25">
      <c r="A250" s="165" t="s">
        <v>81</v>
      </c>
      <c r="B250" s="156">
        <v>113.7</v>
      </c>
      <c r="C250" s="165" t="s">
        <v>8</v>
      </c>
      <c r="D250" s="165" t="s">
        <v>68</v>
      </c>
      <c r="E250" s="158">
        <v>45746</v>
      </c>
    </row>
    <row r="251" spans="1:5" x14ac:dyDescent="0.25">
      <c r="A251" s="160" t="s">
        <v>82</v>
      </c>
      <c r="B251" s="157">
        <v>27.99</v>
      </c>
      <c r="C251" s="160" t="s">
        <v>8</v>
      </c>
      <c r="D251" s="160" t="s">
        <v>68</v>
      </c>
      <c r="E251" s="159">
        <v>45746</v>
      </c>
    </row>
    <row r="252" spans="1:5" x14ac:dyDescent="0.25">
      <c r="A252" s="165" t="s">
        <v>83</v>
      </c>
      <c r="B252" s="156">
        <v>4425.41</v>
      </c>
      <c r="C252" s="165" t="s">
        <v>72</v>
      </c>
      <c r="D252" s="165" t="s">
        <v>73</v>
      </c>
      <c r="E252" s="158">
        <v>45746</v>
      </c>
    </row>
    <row r="253" spans="1:5" x14ac:dyDescent="0.25">
      <c r="A253" s="160" t="s">
        <v>84</v>
      </c>
      <c r="B253" s="157">
        <v>3727.47</v>
      </c>
      <c r="C253" s="160" t="s">
        <v>72</v>
      </c>
      <c r="D253" s="160" t="s">
        <v>73</v>
      </c>
      <c r="E253" s="159">
        <v>45746</v>
      </c>
    </row>
    <row r="254" spans="1:5" x14ac:dyDescent="0.25">
      <c r="A254" s="165" t="s">
        <v>85</v>
      </c>
      <c r="B254" s="167">
        <v>25.9</v>
      </c>
      <c r="C254" s="165" t="s">
        <v>8</v>
      </c>
      <c r="D254" s="165" t="s">
        <v>20</v>
      </c>
      <c r="E254" s="158">
        <v>45430</v>
      </c>
    </row>
    <row r="255" spans="1:5" x14ac:dyDescent="0.25">
      <c r="A255" s="154" t="s">
        <v>225</v>
      </c>
      <c r="B255" s="157">
        <f>877.5/12</f>
        <v>73.125</v>
      </c>
      <c r="C255" s="154" t="s">
        <v>8</v>
      </c>
      <c r="D255" s="154" t="s">
        <v>16</v>
      </c>
      <c r="E255" s="159">
        <v>45629</v>
      </c>
    </row>
    <row r="256" spans="1:5" x14ac:dyDescent="0.25">
      <c r="A256" s="165" t="s">
        <v>226</v>
      </c>
      <c r="B256" s="167">
        <v>46.61</v>
      </c>
      <c r="C256" s="152" t="s">
        <v>8</v>
      </c>
      <c r="D256" s="165" t="s">
        <v>22</v>
      </c>
      <c r="E256" s="158">
        <v>45657</v>
      </c>
    </row>
    <row r="257" spans="1:5" x14ac:dyDescent="0.25">
      <c r="A257" s="154" t="s">
        <v>227</v>
      </c>
      <c r="B257" s="157">
        <v>51.68</v>
      </c>
      <c r="C257" s="154" t="s">
        <v>8</v>
      </c>
      <c r="D257" s="154" t="s">
        <v>11</v>
      </c>
      <c r="E257" s="159">
        <v>45643</v>
      </c>
    </row>
    <row r="258" spans="1:5" x14ac:dyDescent="0.25">
      <c r="A258" s="165" t="s">
        <v>228</v>
      </c>
      <c r="B258" s="167">
        <v>82.17</v>
      </c>
      <c r="C258" s="152" t="s">
        <v>8</v>
      </c>
      <c r="D258" s="165" t="s">
        <v>14</v>
      </c>
      <c r="E258" s="158">
        <v>45657</v>
      </c>
    </row>
    <row r="259" spans="1:5" x14ac:dyDescent="0.25">
      <c r="A259" s="160" t="s">
        <v>229</v>
      </c>
      <c r="B259" s="168">
        <v>346.14</v>
      </c>
      <c r="C259" s="154" t="s">
        <v>8</v>
      </c>
      <c r="D259" s="160" t="s">
        <v>108</v>
      </c>
      <c r="E259" s="159">
        <v>45657</v>
      </c>
    </row>
    <row r="260" spans="1:5" x14ac:dyDescent="0.25">
      <c r="A260" s="152" t="s">
        <v>230</v>
      </c>
      <c r="B260" s="156">
        <v>33.36</v>
      </c>
      <c r="C260" s="152" t="s">
        <v>8</v>
      </c>
      <c r="D260" s="152" t="s">
        <v>11</v>
      </c>
      <c r="E260" s="158">
        <v>45639</v>
      </c>
    </row>
    <row r="261" spans="1:5" x14ac:dyDescent="0.25">
      <c r="A261" s="160" t="s">
        <v>231</v>
      </c>
      <c r="B261" s="168">
        <v>44.97</v>
      </c>
      <c r="C261" s="154" t="s">
        <v>8</v>
      </c>
      <c r="D261" s="160" t="s">
        <v>14</v>
      </c>
      <c r="E261" s="159">
        <v>45657</v>
      </c>
    </row>
    <row r="262" spans="1:5" x14ac:dyDescent="0.25">
      <c r="A262" s="165" t="s">
        <v>232</v>
      </c>
      <c r="B262" s="167">
        <v>27.01</v>
      </c>
      <c r="C262" s="152" t="s">
        <v>8</v>
      </c>
      <c r="D262" s="165" t="s">
        <v>22</v>
      </c>
      <c r="E262" s="158">
        <v>45657</v>
      </c>
    </row>
    <row r="263" spans="1:5" x14ac:dyDescent="0.25">
      <c r="A263" s="160" t="s">
        <v>233</v>
      </c>
      <c r="B263" s="157">
        <v>81.819999999999993</v>
      </c>
      <c r="C263" s="160" t="s">
        <v>8</v>
      </c>
      <c r="D263" s="160" t="s">
        <v>16</v>
      </c>
      <c r="E263" s="159">
        <v>45662</v>
      </c>
    </row>
    <row r="264" spans="1:5" x14ac:dyDescent="0.25">
      <c r="A264" s="165" t="s">
        <v>234</v>
      </c>
      <c r="B264" s="156">
        <v>91.19</v>
      </c>
      <c r="C264" s="165" t="s">
        <v>8</v>
      </c>
      <c r="D264" s="165" t="s">
        <v>22</v>
      </c>
      <c r="E264" s="158">
        <v>45663</v>
      </c>
    </row>
    <row r="265" spans="1:5" x14ac:dyDescent="0.25">
      <c r="A265" s="160" t="s">
        <v>235</v>
      </c>
      <c r="B265" s="157">
        <v>95.62</v>
      </c>
      <c r="C265" s="160" t="s">
        <v>8</v>
      </c>
      <c r="D265" s="160" t="s">
        <v>14</v>
      </c>
      <c r="E265" s="159">
        <v>45663</v>
      </c>
    </row>
    <row r="266" spans="1:5" x14ac:dyDescent="0.25">
      <c r="A266" s="165" t="s">
        <v>234</v>
      </c>
      <c r="B266" s="156">
        <v>102.46</v>
      </c>
      <c r="C266" s="165" t="s">
        <v>8</v>
      </c>
      <c r="D266" s="165" t="s">
        <v>22</v>
      </c>
      <c r="E266" s="158">
        <v>45663</v>
      </c>
    </row>
    <row r="267" spans="1:5" x14ac:dyDescent="0.25">
      <c r="A267" s="160" t="s">
        <v>236</v>
      </c>
      <c r="B267" s="157">
        <v>68.8</v>
      </c>
      <c r="C267" s="160" t="s">
        <v>8</v>
      </c>
      <c r="D267" s="160" t="s">
        <v>22</v>
      </c>
      <c r="E267" s="159">
        <v>45668</v>
      </c>
    </row>
    <row r="268" spans="1:5" x14ac:dyDescent="0.25">
      <c r="A268" s="165" t="s">
        <v>237</v>
      </c>
      <c r="B268" s="156">
        <f>188.1/3</f>
        <v>62.699999999999996</v>
      </c>
      <c r="C268" s="165" t="s">
        <v>8</v>
      </c>
      <c r="D268" s="165" t="s">
        <v>14</v>
      </c>
      <c r="E268" s="158">
        <v>45672</v>
      </c>
    </row>
    <row r="269" spans="1:5" x14ac:dyDescent="0.25">
      <c r="A269" s="154" t="s">
        <v>238</v>
      </c>
      <c r="B269" s="157">
        <v>75</v>
      </c>
      <c r="C269" s="154" t="s">
        <v>8</v>
      </c>
      <c r="D269" s="154" t="s">
        <v>14</v>
      </c>
      <c r="E269" s="159">
        <v>45674</v>
      </c>
    </row>
    <row r="270" spans="1:5" x14ac:dyDescent="0.25">
      <c r="A270" s="152" t="s">
        <v>239</v>
      </c>
      <c r="B270" s="156">
        <v>40.58</v>
      </c>
      <c r="C270" s="152" t="s">
        <v>8</v>
      </c>
      <c r="D270" s="152" t="s">
        <v>22</v>
      </c>
      <c r="E270" s="158">
        <v>45678</v>
      </c>
    </row>
    <row r="271" spans="1:5" x14ac:dyDescent="0.25">
      <c r="A271" s="154" t="s">
        <v>240</v>
      </c>
      <c r="B271" s="157">
        <f>216/6</f>
        <v>36</v>
      </c>
      <c r="C271" s="154" t="s">
        <v>8</v>
      </c>
      <c r="D271" s="154" t="s">
        <v>22</v>
      </c>
      <c r="E271" s="159">
        <v>45680</v>
      </c>
    </row>
    <row r="272" spans="1:5" x14ac:dyDescent="0.25">
      <c r="A272" s="152" t="s">
        <v>241</v>
      </c>
      <c r="B272" s="156">
        <f>598.8/12</f>
        <v>49.9</v>
      </c>
      <c r="C272" s="152" t="s">
        <v>8</v>
      </c>
      <c r="D272" s="152" t="s">
        <v>20</v>
      </c>
      <c r="E272" s="158">
        <v>45681</v>
      </c>
    </row>
    <row r="273" spans="1:5" x14ac:dyDescent="0.25">
      <c r="A273" s="154" t="s">
        <v>242</v>
      </c>
      <c r="B273" s="157">
        <f>197.94/6</f>
        <v>32.99</v>
      </c>
      <c r="C273" s="154" t="s">
        <v>8</v>
      </c>
      <c r="D273" s="154" t="s">
        <v>11</v>
      </c>
      <c r="E273" s="159">
        <v>45683</v>
      </c>
    </row>
    <row r="274" spans="1:5" x14ac:dyDescent="0.25">
      <c r="A274" s="152" t="s">
        <v>243</v>
      </c>
      <c r="B274" s="156">
        <f>413.95/3</f>
        <v>137.98333333333332</v>
      </c>
      <c r="C274" s="152" t="s">
        <v>8</v>
      </c>
      <c r="D274" s="152" t="s">
        <v>22</v>
      </c>
      <c r="E274" s="158">
        <v>45685</v>
      </c>
    </row>
    <row r="275" spans="1:5" x14ac:dyDescent="0.25">
      <c r="A275" s="154" t="s">
        <v>244</v>
      </c>
      <c r="B275" s="157">
        <f>595/4</f>
        <v>148.75</v>
      </c>
      <c r="C275" s="154" t="s">
        <v>8</v>
      </c>
      <c r="D275" s="154" t="s">
        <v>14</v>
      </c>
      <c r="E275" s="159">
        <v>45685</v>
      </c>
    </row>
    <row r="276" spans="1:5" x14ac:dyDescent="0.25">
      <c r="A276" s="152" t="s">
        <v>245</v>
      </c>
      <c r="B276" s="156">
        <f>(145.67+64.44)/5</f>
        <v>42.021999999999998</v>
      </c>
      <c r="C276" s="152" t="s">
        <v>8</v>
      </c>
      <c r="D276" s="152" t="s">
        <v>14</v>
      </c>
      <c r="E276" s="153">
        <v>45691</v>
      </c>
    </row>
    <row r="277" spans="1:5" x14ac:dyDescent="0.25">
      <c r="A277" s="154" t="s">
        <v>246</v>
      </c>
      <c r="B277" s="157">
        <f>44.54*2/5</f>
        <v>17.815999999999999</v>
      </c>
      <c r="C277" s="154" t="s">
        <v>8</v>
      </c>
      <c r="D277" s="154" t="s">
        <v>22</v>
      </c>
      <c r="E277" s="155">
        <v>45691</v>
      </c>
    </row>
    <row r="278" spans="1:5" x14ac:dyDescent="0.25">
      <c r="A278" s="152" t="s">
        <v>247</v>
      </c>
      <c r="B278" s="156">
        <v>40.11</v>
      </c>
      <c r="C278" s="152" t="s">
        <v>8</v>
      </c>
      <c r="D278" s="152" t="s">
        <v>22</v>
      </c>
      <c r="E278" s="153">
        <v>45698</v>
      </c>
    </row>
    <row r="279" spans="1:5" x14ac:dyDescent="0.25">
      <c r="A279" s="154" t="s">
        <v>248</v>
      </c>
      <c r="B279" s="157">
        <v>42.66</v>
      </c>
      <c r="C279" s="154" t="s">
        <v>8</v>
      </c>
      <c r="D279" s="154" t="s">
        <v>11</v>
      </c>
      <c r="E279" s="155">
        <v>45698</v>
      </c>
    </row>
    <row r="280" spans="1:5" x14ac:dyDescent="0.25">
      <c r="A280" s="152" t="s">
        <v>249</v>
      </c>
      <c r="B280" s="156">
        <v>11.87</v>
      </c>
      <c r="C280" s="152" t="s">
        <v>8</v>
      </c>
      <c r="D280" s="152" t="s">
        <v>11</v>
      </c>
      <c r="E280" s="153">
        <v>45699</v>
      </c>
    </row>
    <row r="281" spans="1:5" x14ac:dyDescent="0.25">
      <c r="A281" s="154" t="s">
        <v>250</v>
      </c>
      <c r="B281" s="157">
        <f>199/6</f>
        <v>33.166666666666664</v>
      </c>
      <c r="C281" s="154" t="s">
        <v>8</v>
      </c>
      <c r="D281" s="154" t="s">
        <v>114</v>
      </c>
      <c r="E281" s="155">
        <v>45701</v>
      </c>
    </row>
    <row r="282" spans="1:5" x14ac:dyDescent="0.25">
      <c r="A282" s="152" t="s">
        <v>251</v>
      </c>
      <c r="B282" s="156">
        <f>29.4/5</f>
        <v>5.88</v>
      </c>
      <c r="C282" s="152" t="s">
        <v>8</v>
      </c>
      <c r="D282" s="152" t="s">
        <v>11</v>
      </c>
      <c r="E282" s="153">
        <v>45705</v>
      </c>
    </row>
    <row r="283" spans="1:5" x14ac:dyDescent="0.25">
      <c r="A283" s="154" t="s">
        <v>252</v>
      </c>
      <c r="B283" s="157">
        <f>247.5/2</f>
        <v>123.75</v>
      </c>
      <c r="C283" s="154" t="s">
        <v>8</v>
      </c>
      <c r="D283" s="154" t="s">
        <v>14</v>
      </c>
      <c r="E283" s="155">
        <v>45705</v>
      </c>
    </row>
    <row r="284" spans="1:5" x14ac:dyDescent="0.25">
      <c r="A284" s="152" t="s">
        <v>253</v>
      </c>
      <c r="B284" s="156">
        <v>116.33</v>
      </c>
      <c r="C284" s="152" t="s">
        <v>8</v>
      </c>
      <c r="D284" s="152" t="s">
        <v>11</v>
      </c>
      <c r="E284" s="153">
        <v>45710</v>
      </c>
    </row>
    <row r="285" spans="1:5" x14ac:dyDescent="0.25">
      <c r="A285" s="154" t="s">
        <v>254</v>
      </c>
      <c r="B285" s="157">
        <v>84.95</v>
      </c>
      <c r="C285" s="154" t="s">
        <v>8</v>
      </c>
      <c r="D285" s="154" t="s">
        <v>22</v>
      </c>
      <c r="E285" s="155">
        <v>45710</v>
      </c>
    </row>
    <row r="286" spans="1:5" x14ac:dyDescent="0.25">
      <c r="A286" s="163" t="s">
        <v>280</v>
      </c>
      <c r="B286" s="169">
        <v>20</v>
      </c>
      <c r="C286" s="165" t="s">
        <v>8</v>
      </c>
      <c r="D286" s="165" t="s">
        <v>16</v>
      </c>
      <c r="E286" s="164">
        <v>45717</v>
      </c>
    </row>
    <row r="287" spans="1:5" x14ac:dyDescent="0.25">
      <c r="A287" s="161" t="s">
        <v>281</v>
      </c>
      <c r="B287" s="170">
        <v>58.41</v>
      </c>
      <c r="C287" s="160" t="s">
        <v>8</v>
      </c>
      <c r="D287" s="160" t="s">
        <v>36</v>
      </c>
      <c r="E287" s="162">
        <v>45717</v>
      </c>
    </row>
    <row r="288" spans="1:5" x14ac:dyDescent="0.25">
      <c r="A288" s="163" t="s">
        <v>188</v>
      </c>
      <c r="B288" s="169">
        <v>91.98</v>
      </c>
      <c r="C288" s="165" t="s">
        <v>8</v>
      </c>
      <c r="D288" s="165" t="s">
        <v>16</v>
      </c>
      <c r="E288" s="164">
        <v>45718</v>
      </c>
    </row>
    <row r="289" spans="1:5" x14ac:dyDescent="0.25">
      <c r="A289" s="161" t="s">
        <v>282</v>
      </c>
      <c r="B289" s="170">
        <v>39.134999999999998</v>
      </c>
      <c r="C289" s="160" t="s">
        <v>8</v>
      </c>
      <c r="D289" s="160" t="s">
        <v>22</v>
      </c>
      <c r="E289" s="162">
        <v>45718</v>
      </c>
    </row>
    <row r="290" spans="1:5" x14ac:dyDescent="0.25">
      <c r="A290" s="163" t="s">
        <v>283</v>
      </c>
      <c r="B290" s="169">
        <v>54.02</v>
      </c>
      <c r="C290" s="165" t="s">
        <v>8</v>
      </c>
      <c r="D290" s="165" t="s">
        <v>14</v>
      </c>
      <c r="E290" s="164">
        <v>45719</v>
      </c>
    </row>
    <row r="291" spans="1:5" x14ac:dyDescent="0.25">
      <c r="A291" s="161" t="s">
        <v>284</v>
      </c>
      <c r="B291" s="170">
        <v>173.72499999999999</v>
      </c>
      <c r="C291" s="160" t="s">
        <v>8</v>
      </c>
      <c r="D291" s="160" t="s">
        <v>14</v>
      </c>
      <c r="E291" s="162">
        <v>45719</v>
      </c>
    </row>
    <row r="292" spans="1:5" x14ac:dyDescent="0.25">
      <c r="A292" s="163" t="s">
        <v>285</v>
      </c>
      <c r="B292" s="169">
        <v>73.8</v>
      </c>
      <c r="C292" s="165" t="s">
        <v>8</v>
      </c>
      <c r="D292" s="165" t="s">
        <v>36</v>
      </c>
      <c r="E292" s="164">
        <v>45719</v>
      </c>
    </row>
    <row r="293" spans="1:5" x14ac:dyDescent="0.25">
      <c r="A293" s="161" t="s">
        <v>188</v>
      </c>
      <c r="B293" s="170">
        <v>49.11</v>
      </c>
      <c r="C293" s="160" t="s">
        <v>8</v>
      </c>
      <c r="D293" s="160" t="s">
        <v>16</v>
      </c>
      <c r="E293" s="162">
        <v>45719</v>
      </c>
    </row>
    <row r="294" spans="1:5" x14ac:dyDescent="0.25">
      <c r="A294" s="163" t="s">
        <v>286</v>
      </c>
      <c r="B294" s="169">
        <v>86.833333333333329</v>
      </c>
      <c r="C294" s="165" t="s">
        <v>8</v>
      </c>
      <c r="D294" s="165" t="s">
        <v>14</v>
      </c>
      <c r="E294" s="164">
        <v>45719</v>
      </c>
    </row>
    <row r="295" spans="1:5" x14ac:dyDescent="0.25">
      <c r="A295" s="161" t="s">
        <v>287</v>
      </c>
      <c r="B295" s="170">
        <v>57.179999999999993</v>
      </c>
      <c r="C295" s="160" t="s">
        <v>8</v>
      </c>
      <c r="D295" s="160" t="s">
        <v>22</v>
      </c>
      <c r="E295" s="162">
        <v>45719</v>
      </c>
    </row>
    <row r="296" spans="1:5" x14ac:dyDescent="0.25">
      <c r="A296" s="163" t="s">
        <v>288</v>
      </c>
      <c r="B296" s="169">
        <v>51.137500000000003</v>
      </c>
      <c r="C296" s="165" t="s">
        <v>8</v>
      </c>
      <c r="D296" s="165" t="s">
        <v>11</v>
      </c>
      <c r="E296" s="164">
        <v>45719</v>
      </c>
    </row>
    <row r="297" spans="1:5" x14ac:dyDescent="0.25">
      <c r="A297" s="161" t="s">
        <v>15</v>
      </c>
      <c r="B297" s="170">
        <v>39.96</v>
      </c>
      <c r="C297" s="160" t="s">
        <v>8</v>
      </c>
      <c r="D297" s="160" t="s">
        <v>16</v>
      </c>
      <c r="E297" s="162">
        <v>45720</v>
      </c>
    </row>
    <row r="298" spans="1:5" x14ac:dyDescent="0.25">
      <c r="A298" s="163" t="s">
        <v>289</v>
      </c>
      <c r="B298" s="169">
        <v>332</v>
      </c>
      <c r="C298" s="165" t="s">
        <v>8</v>
      </c>
      <c r="D298" s="165" t="s">
        <v>36</v>
      </c>
      <c r="E298" s="164">
        <v>45720</v>
      </c>
    </row>
    <row r="299" spans="1:5" x14ac:dyDescent="0.25">
      <c r="A299" s="161" t="s">
        <v>289</v>
      </c>
      <c r="B299" s="170">
        <v>18</v>
      </c>
      <c r="C299" s="160" t="s">
        <v>8</v>
      </c>
      <c r="D299" s="160" t="s">
        <v>36</v>
      </c>
      <c r="E299" s="162">
        <v>45720</v>
      </c>
    </row>
    <row r="300" spans="1:5" x14ac:dyDescent="0.25">
      <c r="A300" s="163" t="s">
        <v>290</v>
      </c>
      <c r="B300" s="169">
        <v>52.99</v>
      </c>
      <c r="C300" s="165" t="s">
        <v>8</v>
      </c>
      <c r="D300" s="165" t="s">
        <v>61</v>
      </c>
      <c r="E300" s="164">
        <v>45721</v>
      </c>
    </row>
    <row r="301" spans="1:5" x14ac:dyDescent="0.25">
      <c r="A301" s="161" t="s">
        <v>291</v>
      </c>
      <c r="B301" s="170">
        <v>650</v>
      </c>
      <c r="C301" s="160" t="s">
        <v>8</v>
      </c>
      <c r="D301" s="160" t="s">
        <v>26</v>
      </c>
      <c r="E301" s="162">
        <v>45717</v>
      </c>
    </row>
    <row r="302" spans="1:5" x14ac:dyDescent="0.25">
      <c r="A302" s="163" t="s">
        <v>120</v>
      </c>
      <c r="B302" s="169">
        <v>14.3</v>
      </c>
      <c r="C302" s="165" t="s">
        <v>8</v>
      </c>
      <c r="D302" s="165" t="s">
        <v>31</v>
      </c>
      <c r="E302" s="164">
        <v>45717</v>
      </c>
    </row>
    <row r="303" spans="1:5" x14ac:dyDescent="0.25">
      <c r="A303" s="161" t="s">
        <v>120</v>
      </c>
      <c r="B303" s="170">
        <v>15</v>
      </c>
      <c r="C303" s="160" t="s">
        <v>8</v>
      </c>
      <c r="D303" s="160" t="s">
        <v>31</v>
      </c>
      <c r="E303" s="162">
        <v>45717</v>
      </c>
    </row>
    <row r="304" spans="1:5" x14ac:dyDescent="0.25">
      <c r="A304" s="163" t="s">
        <v>292</v>
      </c>
      <c r="B304" s="169">
        <v>173</v>
      </c>
      <c r="C304" s="165" t="s">
        <v>8</v>
      </c>
      <c r="D304" s="165" t="s">
        <v>22</v>
      </c>
      <c r="E304" s="164">
        <v>45717</v>
      </c>
    </row>
    <row r="305" spans="1:5" x14ac:dyDescent="0.25">
      <c r="A305" s="161" t="s">
        <v>25</v>
      </c>
      <c r="B305" s="170">
        <v>35</v>
      </c>
      <c r="C305" s="160" t="s">
        <v>8</v>
      </c>
      <c r="D305" s="160" t="s">
        <v>26</v>
      </c>
      <c r="E305" s="162">
        <v>45720</v>
      </c>
    </row>
    <row r="306" spans="1:5" x14ac:dyDescent="0.25">
      <c r="A306" s="163" t="s">
        <v>120</v>
      </c>
      <c r="B306" s="169">
        <v>9.1</v>
      </c>
      <c r="C306" s="165" t="s">
        <v>8</v>
      </c>
      <c r="D306" s="165" t="s">
        <v>31</v>
      </c>
      <c r="E306" s="164">
        <v>45721</v>
      </c>
    </row>
    <row r="307" spans="1:5" x14ac:dyDescent="0.25">
      <c r="A307" s="161" t="s">
        <v>120</v>
      </c>
      <c r="B307" s="170">
        <v>7.9</v>
      </c>
      <c r="C307" s="160" t="s">
        <v>8</v>
      </c>
      <c r="D307" s="160" t="s">
        <v>31</v>
      </c>
      <c r="E307" s="162">
        <v>45721</v>
      </c>
    </row>
    <row r="308" spans="1:5" x14ac:dyDescent="0.25">
      <c r="A308" s="163" t="s">
        <v>120</v>
      </c>
      <c r="B308" s="169">
        <v>18.600000000000001</v>
      </c>
      <c r="C308" s="165" t="s">
        <v>8</v>
      </c>
      <c r="D308" s="165" t="s">
        <v>31</v>
      </c>
      <c r="E308" s="164">
        <v>45721</v>
      </c>
    </row>
    <row r="309" spans="1:5" x14ac:dyDescent="0.25">
      <c r="A309" s="161" t="s">
        <v>371</v>
      </c>
      <c r="B309" s="170">
        <v>26.83</v>
      </c>
      <c r="C309" s="160" t="s">
        <v>8</v>
      </c>
      <c r="D309" s="160" t="s">
        <v>14</v>
      </c>
      <c r="E309" s="162">
        <v>45721</v>
      </c>
    </row>
    <row r="310" spans="1:5" x14ac:dyDescent="0.25">
      <c r="A310" s="163" t="s">
        <v>15</v>
      </c>
      <c r="B310" s="169">
        <v>19.989999999999998</v>
      </c>
      <c r="C310" s="165" t="s">
        <v>8</v>
      </c>
      <c r="D310" s="165" t="s">
        <v>16</v>
      </c>
      <c r="E310" s="164">
        <v>45721</v>
      </c>
    </row>
    <row r="311" spans="1:5" x14ac:dyDescent="0.25">
      <c r="A311" s="161" t="s">
        <v>373</v>
      </c>
      <c r="B311" s="170">
        <v>5</v>
      </c>
      <c r="C311" s="160" t="s">
        <v>8</v>
      </c>
      <c r="D311" s="160" t="s">
        <v>63</v>
      </c>
      <c r="E311" s="162">
        <v>45722</v>
      </c>
    </row>
    <row r="312" spans="1:5" x14ac:dyDescent="0.25">
      <c r="A312" s="163" t="s">
        <v>120</v>
      </c>
      <c r="B312" s="169">
        <v>15.7</v>
      </c>
      <c r="C312" s="165" t="s">
        <v>8</v>
      </c>
      <c r="D312" s="165" t="s">
        <v>31</v>
      </c>
      <c r="E312" s="164">
        <v>45722</v>
      </c>
    </row>
    <row r="313" spans="1:5" x14ac:dyDescent="0.25">
      <c r="A313" s="161" t="s">
        <v>120</v>
      </c>
      <c r="B313" s="170">
        <v>11.8</v>
      </c>
      <c r="C313" s="160" t="s">
        <v>8</v>
      </c>
      <c r="D313" s="160" t="s">
        <v>31</v>
      </c>
      <c r="E313" s="162">
        <v>45722</v>
      </c>
    </row>
    <row r="314" spans="1:5" x14ac:dyDescent="0.25">
      <c r="A314" s="163" t="s">
        <v>374</v>
      </c>
      <c r="B314" s="169">
        <v>20</v>
      </c>
      <c r="C314" s="165" t="s">
        <v>8</v>
      </c>
      <c r="D314" s="165" t="s">
        <v>16</v>
      </c>
      <c r="E314" s="164">
        <v>45722</v>
      </c>
    </row>
    <row r="315" spans="1:5" x14ac:dyDescent="0.25">
      <c r="A315" s="161" t="s">
        <v>25</v>
      </c>
      <c r="B315" s="170">
        <v>40</v>
      </c>
      <c r="C315" s="160" t="s">
        <v>8</v>
      </c>
      <c r="D315" s="160" t="s">
        <v>26</v>
      </c>
      <c r="E315" s="162">
        <v>45722</v>
      </c>
    </row>
    <row r="316" spans="1:5" x14ac:dyDescent="0.25">
      <c r="A316" s="163" t="s">
        <v>175</v>
      </c>
      <c r="B316" s="169">
        <v>172</v>
      </c>
      <c r="C316" s="165" t="s">
        <v>8</v>
      </c>
      <c r="D316" s="165" t="s">
        <v>22</v>
      </c>
      <c r="E316" s="164">
        <v>45724</v>
      </c>
    </row>
    <row r="317" spans="1:5" x14ac:dyDescent="0.25">
      <c r="A317" s="161" t="s">
        <v>377</v>
      </c>
      <c r="B317" s="170">
        <v>28.99</v>
      </c>
      <c r="C317" s="160" t="s">
        <v>8</v>
      </c>
      <c r="D317" s="160" t="s">
        <v>11</v>
      </c>
      <c r="E317" s="162">
        <v>45723</v>
      </c>
    </row>
    <row r="318" spans="1:5" x14ac:dyDescent="0.25">
      <c r="A318" s="163" t="s">
        <v>375</v>
      </c>
      <c r="B318" s="169">
        <v>131.80000000000001</v>
      </c>
      <c r="C318" s="165" t="s">
        <v>8</v>
      </c>
      <c r="D318" s="165" t="s">
        <v>36</v>
      </c>
      <c r="E318" s="164">
        <v>45723</v>
      </c>
    </row>
    <row r="319" spans="1:5" x14ac:dyDescent="0.25">
      <c r="A319" s="161" t="s">
        <v>376</v>
      </c>
      <c r="B319" s="170">
        <v>75.900000000000006</v>
      </c>
      <c r="C319" s="160" t="s">
        <v>8</v>
      </c>
      <c r="D319" s="160" t="s">
        <v>36</v>
      </c>
      <c r="E319" s="162">
        <v>45723</v>
      </c>
    </row>
    <row r="320" spans="1:5" x14ac:dyDescent="0.25">
      <c r="A320" s="163" t="s">
        <v>120</v>
      </c>
      <c r="B320" s="169">
        <v>33.96</v>
      </c>
      <c r="C320" s="165" t="s">
        <v>8</v>
      </c>
      <c r="D320" s="165" t="s">
        <v>31</v>
      </c>
      <c r="E320" s="164">
        <v>45725</v>
      </c>
    </row>
    <row r="321" spans="1:5" x14ac:dyDescent="0.25">
      <c r="A321" s="161" t="s">
        <v>120</v>
      </c>
      <c r="B321" s="170">
        <v>37.96</v>
      </c>
      <c r="C321" s="160" t="s">
        <v>8</v>
      </c>
      <c r="D321" s="160" t="s">
        <v>31</v>
      </c>
      <c r="E321" s="162">
        <v>45725</v>
      </c>
    </row>
    <row r="322" spans="1:5" x14ac:dyDescent="0.25">
      <c r="A322" s="163" t="s">
        <v>378</v>
      </c>
      <c r="B322" s="169">
        <v>18</v>
      </c>
      <c r="C322" s="165" t="s">
        <v>8</v>
      </c>
      <c r="D322" s="165" t="s">
        <v>31</v>
      </c>
      <c r="E322" s="164">
        <v>45724</v>
      </c>
    </row>
    <row r="323" spans="1:5" x14ac:dyDescent="0.25">
      <c r="A323" s="161" t="s">
        <v>175</v>
      </c>
      <c r="B323" s="170">
        <v>80</v>
      </c>
      <c r="C323" s="160" t="s">
        <v>8</v>
      </c>
      <c r="D323" s="160" t="s">
        <v>22</v>
      </c>
      <c r="E323" s="162">
        <v>45726</v>
      </c>
    </row>
    <row r="324" spans="1:5" x14ac:dyDescent="0.25">
      <c r="A324" s="163" t="s">
        <v>120</v>
      </c>
      <c r="B324" s="169">
        <v>20.12</v>
      </c>
      <c r="C324" s="165" t="s">
        <v>8</v>
      </c>
      <c r="D324" s="165" t="s">
        <v>31</v>
      </c>
      <c r="E324" s="164">
        <v>45726</v>
      </c>
    </row>
    <row r="325" spans="1:5" x14ac:dyDescent="0.25">
      <c r="A325" s="161" t="s">
        <v>379</v>
      </c>
      <c r="B325" s="170">
        <v>105.8</v>
      </c>
      <c r="C325" s="160" t="s">
        <v>8</v>
      </c>
      <c r="D325" s="160" t="s">
        <v>22</v>
      </c>
      <c r="E325" s="162">
        <v>45727</v>
      </c>
    </row>
    <row r="326" spans="1:5" x14ac:dyDescent="0.25">
      <c r="A326" s="163" t="s">
        <v>374</v>
      </c>
      <c r="B326" s="169">
        <v>20</v>
      </c>
      <c r="C326" s="165" t="s">
        <v>8</v>
      </c>
      <c r="D326" s="165" t="s">
        <v>16</v>
      </c>
      <c r="E326" s="164">
        <v>45727</v>
      </c>
    </row>
    <row r="327" spans="1:5" x14ac:dyDescent="0.25">
      <c r="A327" s="161" t="s">
        <v>380</v>
      </c>
      <c r="B327" s="170">
        <v>71.06</v>
      </c>
      <c r="C327" s="160" t="s">
        <v>8</v>
      </c>
      <c r="D327" s="160" t="s">
        <v>68</v>
      </c>
      <c r="E327" s="162">
        <v>45729</v>
      </c>
    </row>
    <row r="328" spans="1:5" x14ac:dyDescent="0.25">
      <c r="A328" s="165" t="s">
        <v>163</v>
      </c>
      <c r="B328" s="169">
        <v>69.900000000000006</v>
      </c>
      <c r="C328" s="165" t="s">
        <v>8</v>
      </c>
      <c r="D328" s="165" t="s">
        <v>22</v>
      </c>
      <c r="E328" s="164">
        <v>45729</v>
      </c>
    </row>
    <row r="329" spans="1:5" x14ac:dyDescent="0.25">
      <c r="A329" s="161" t="s">
        <v>120</v>
      </c>
      <c r="B329" s="170">
        <v>9.7100000000000009</v>
      </c>
      <c r="C329" s="160" t="s">
        <v>8</v>
      </c>
      <c r="D329" s="160" t="s">
        <v>31</v>
      </c>
      <c r="E329" s="162">
        <v>45730</v>
      </c>
    </row>
    <row r="330" spans="1:5" x14ac:dyDescent="0.25">
      <c r="A330" s="163" t="s">
        <v>120</v>
      </c>
      <c r="B330" s="169">
        <v>15.7</v>
      </c>
      <c r="C330" s="165" t="s">
        <v>8</v>
      </c>
      <c r="D330" s="165" t="s">
        <v>31</v>
      </c>
      <c r="E330" s="164">
        <v>45731</v>
      </c>
    </row>
    <row r="331" spans="1:5" x14ac:dyDescent="0.25">
      <c r="A331" s="161" t="s">
        <v>120</v>
      </c>
      <c r="B331" s="170">
        <v>21.7</v>
      </c>
      <c r="C331" s="160" t="s">
        <v>8</v>
      </c>
      <c r="D331" s="160" t="s">
        <v>31</v>
      </c>
      <c r="E331" s="162">
        <v>45731</v>
      </c>
    </row>
    <row r="332" spans="1:5" x14ac:dyDescent="0.25">
      <c r="A332" s="163" t="s">
        <v>381</v>
      </c>
      <c r="B332" s="169">
        <v>84</v>
      </c>
      <c r="C332" s="165" t="s">
        <v>8</v>
      </c>
      <c r="D332" s="165" t="s">
        <v>26</v>
      </c>
      <c r="E332" s="164">
        <v>45731</v>
      </c>
    </row>
    <row r="333" spans="1:5" x14ac:dyDescent="0.25">
      <c r="A333" s="161" t="s">
        <v>382</v>
      </c>
      <c r="B333" s="170">
        <v>92</v>
      </c>
      <c r="C333" s="160" t="s">
        <v>8</v>
      </c>
      <c r="D333" s="160" t="s">
        <v>22</v>
      </c>
      <c r="E333" s="162">
        <v>45731</v>
      </c>
    </row>
    <row r="334" spans="1:5" x14ac:dyDescent="0.25">
      <c r="A334" s="163" t="s">
        <v>383</v>
      </c>
      <c r="B334" s="169">
        <v>24.9</v>
      </c>
      <c r="C334" s="165" t="s">
        <v>8</v>
      </c>
      <c r="D334" s="165" t="s">
        <v>11</v>
      </c>
      <c r="E334" s="164">
        <v>45731</v>
      </c>
    </row>
    <row r="335" spans="1:5" x14ac:dyDescent="0.25">
      <c r="A335" s="161" t="s">
        <v>384</v>
      </c>
      <c r="B335" s="170">
        <v>27.408333333333331</v>
      </c>
      <c r="C335" s="160" t="s">
        <v>8</v>
      </c>
      <c r="D335" s="160" t="s">
        <v>11</v>
      </c>
      <c r="E335" s="162">
        <v>45731</v>
      </c>
    </row>
    <row r="336" spans="1:5" x14ac:dyDescent="0.25">
      <c r="A336" s="163" t="s">
        <v>385</v>
      </c>
      <c r="B336" s="169">
        <v>27.406666666666666</v>
      </c>
      <c r="C336" s="165" t="s">
        <v>8</v>
      </c>
      <c r="D336" s="165" t="s">
        <v>14</v>
      </c>
      <c r="E336" s="164">
        <v>45731</v>
      </c>
    </row>
    <row r="337" spans="1:5" x14ac:dyDescent="0.25">
      <c r="A337" s="161" t="s">
        <v>120</v>
      </c>
      <c r="B337" s="170">
        <v>35.9</v>
      </c>
      <c r="C337" s="160" t="s">
        <v>8</v>
      </c>
      <c r="D337" s="160" t="s">
        <v>31</v>
      </c>
      <c r="E337" s="162">
        <v>45731</v>
      </c>
    </row>
    <row r="338" spans="1:5" x14ac:dyDescent="0.25">
      <c r="A338" s="163" t="s">
        <v>387</v>
      </c>
      <c r="B338" s="169">
        <v>36.5</v>
      </c>
      <c r="C338" s="165" t="s">
        <v>8</v>
      </c>
      <c r="D338" s="165" t="s">
        <v>36</v>
      </c>
      <c r="E338" s="164">
        <v>45732</v>
      </c>
    </row>
    <row r="339" spans="1:5" x14ac:dyDescent="0.25">
      <c r="A339" s="161" t="s">
        <v>388</v>
      </c>
      <c r="B339" s="170">
        <v>40</v>
      </c>
      <c r="C339" s="160" t="s">
        <v>8</v>
      </c>
      <c r="D339" s="160" t="s">
        <v>11</v>
      </c>
      <c r="E339" s="162">
        <v>45732</v>
      </c>
    </row>
    <row r="340" spans="1:5" x14ac:dyDescent="0.25">
      <c r="A340" s="163" t="s">
        <v>13</v>
      </c>
      <c r="B340" s="169">
        <v>66.87</v>
      </c>
      <c r="C340" s="165" t="s">
        <v>8</v>
      </c>
      <c r="D340" s="165" t="s">
        <v>14</v>
      </c>
      <c r="E340" s="164">
        <v>45732</v>
      </c>
    </row>
    <row r="341" spans="1:5" x14ac:dyDescent="0.25">
      <c r="A341" s="161" t="s">
        <v>389</v>
      </c>
      <c r="B341" s="170">
        <v>64.89</v>
      </c>
      <c r="C341" s="160" t="s">
        <v>8</v>
      </c>
      <c r="D341" s="160" t="s">
        <v>36</v>
      </c>
      <c r="E341" s="162">
        <v>45732</v>
      </c>
    </row>
    <row r="342" spans="1:5" x14ac:dyDescent="0.25">
      <c r="A342" s="163" t="s">
        <v>374</v>
      </c>
      <c r="B342" s="169">
        <v>20</v>
      </c>
      <c r="C342" s="165" t="s">
        <v>8</v>
      </c>
      <c r="D342" s="165" t="s">
        <v>16</v>
      </c>
      <c r="E342" s="164">
        <v>45733</v>
      </c>
    </row>
    <row r="343" spans="1:5" x14ac:dyDescent="0.25">
      <c r="A343" s="161" t="s">
        <v>390</v>
      </c>
      <c r="B343" s="170">
        <v>19.899999999999999</v>
      </c>
      <c r="C343" s="160" t="s">
        <v>8</v>
      </c>
      <c r="D343" s="160" t="s">
        <v>20</v>
      </c>
      <c r="E343" s="162">
        <v>45733</v>
      </c>
    </row>
    <row r="344" spans="1:5" x14ac:dyDescent="0.25">
      <c r="A344" s="163" t="s">
        <v>391</v>
      </c>
      <c r="B344" s="169">
        <v>36.907499999999999</v>
      </c>
      <c r="C344" s="165" t="s">
        <v>8</v>
      </c>
      <c r="D344" s="165" t="s">
        <v>22</v>
      </c>
      <c r="E344" s="164">
        <v>45734</v>
      </c>
    </row>
    <row r="345" spans="1:5" x14ac:dyDescent="0.25">
      <c r="A345" s="161" t="s">
        <v>392</v>
      </c>
      <c r="B345" s="170">
        <v>133.25</v>
      </c>
      <c r="C345" s="160" t="s">
        <v>8</v>
      </c>
      <c r="D345" s="160" t="s">
        <v>22</v>
      </c>
      <c r="E345" s="162">
        <v>45734</v>
      </c>
    </row>
    <row r="346" spans="1:5" x14ac:dyDescent="0.25">
      <c r="A346" s="163" t="s">
        <v>133</v>
      </c>
      <c r="B346" s="169">
        <v>85.79</v>
      </c>
      <c r="C346" s="165" t="s">
        <v>8</v>
      </c>
      <c r="D346" s="165" t="s">
        <v>16</v>
      </c>
      <c r="E346" s="164">
        <v>45734</v>
      </c>
    </row>
    <row r="347" spans="1:5" x14ac:dyDescent="0.25">
      <c r="A347" s="161" t="s">
        <v>393</v>
      </c>
      <c r="B347" s="170">
        <v>50</v>
      </c>
      <c r="C347" s="160" t="s">
        <v>8</v>
      </c>
      <c r="D347" s="160" t="s">
        <v>31</v>
      </c>
      <c r="E347" s="162">
        <v>45735</v>
      </c>
    </row>
    <row r="348" spans="1:5" x14ac:dyDescent="0.25">
      <c r="A348" s="163" t="s">
        <v>120</v>
      </c>
      <c r="B348" s="169">
        <v>9.7100000000000009</v>
      </c>
      <c r="C348" s="165" t="s">
        <v>8</v>
      </c>
      <c r="D348" s="165" t="s">
        <v>31</v>
      </c>
      <c r="E348" s="164">
        <v>45736</v>
      </c>
    </row>
    <row r="349" spans="1:5" x14ac:dyDescent="0.25">
      <c r="A349" s="161" t="s">
        <v>120</v>
      </c>
      <c r="B349" s="170">
        <v>9.7100000000000009</v>
      </c>
      <c r="C349" s="160" t="s">
        <v>8</v>
      </c>
      <c r="D349" s="160" t="s">
        <v>31</v>
      </c>
      <c r="E349" s="162">
        <v>45736</v>
      </c>
    </row>
    <row r="350" spans="1:5" x14ac:dyDescent="0.25">
      <c r="A350" s="163" t="s">
        <v>43</v>
      </c>
      <c r="B350" s="169">
        <v>255.09</v>
      </c>
      <c r="C350" s="165" t="s">
        <v>8</v>
      </c>
      <c r="D350" s="165" t="s">
        <v>31</v>
      </c>
      <c r="E350" s="164">
        <v>45736</v>
      </c>
    </row>
    <row r="351" spans="1:5" x14ac:dyDescent="0.25">
      <c r="A351" s="161" t="s">
        <v>15</v>
      </c>
      <c r="B351" s="170">
        <v>67.959999999999994</v>
      </c>
      <c r="C351" s="160" t="s">
        <v>8</v>
      </c>
      <c r="D351" s="160" t="s">
        <v>16</v>
      </c>
      <c r="E351" s="162">
        <v>45737</v>
      </c>
    </row>
    <row r="352" spans="1:5" x14ac:dyDescent="0.25">
      <c r="A352" s="163" t="s">
        <v>394</v>
      </c>
      <c r="B352" s="169">
        <v>86.54</v>
      </c>
      <c r="C352" s="165" t="s">
        <v>8</v>
      </c>
      <c r="D352" s="165" t="s">
        <v>11</v>
      </c>
      <c r="E352" s="164">
        <v>45738</v>
      </c>
    </row>
    <row r="353" spans="1:5" x14ac:dyDescent="0.25">
      <c r="A353" s="161" t="s">
        <v>395</v>
      </c>
      <c r="B353" s="170">
        <v>199.9</v>
      </c>
      <c r="C353" s="160" t="s">
        <v>8</v>
      </c>
      <c r="D353" s="160" t="s">
        <v>11</v>
      </c>
      <c r="E353" s="162">
        <v>45738</v>
      </c>
    </row>
    <row r="354" spans="1:5" x14ac:dyDescent="0.25">
      <c r="A354" s="163" t="s">
        <v>120</v>
      </c>
      <c r="B354" s="169">
        <v>27.35</v>
      </c>
      <c r="C354" s="165" t="s">
        <v>8</v>
      </c>
      <c r="D354" s="165" t="s">
        <v>31</v>
      </c>
      <c r="E354" s="164">
        <v>45738</v>
      </c>
    </row>
    <row r="355" spans="1:5" x14ac:dyDescent="0.25">
      <c r="A355" s="161" t="s">
        <v>396</v>
      </c>
      <c r="B355" s="170">
        <v>188.24</v>
      </c>
      <c r="C355" s="160" t="s">
        <v>8</v>
      </c>
      <c r="D355" s="160" t="s">
        <v>36</v>
      </c>
      <c r="E355" s="162">
        <v>45738</v>
      </c>
    </row>
    <row r="356" spans="1:5" x14ac:dyDescent="0.25">
      <c r="A356" s="163" t="s">
        <v>120</v>
      </c>
      <c r="B356" s="169">
        <v>18.8</v>
      </c>
      <c r="C356" s="165" t="s">
        <v>8</v>
      </c>
      <c r="D356" s="165" t="s">
        <v>31</v>
      </c>
      <c r="E356" s="164">
        <v>45738</v>
      </c>
    </row>
    <row r="357" spans="1:5" x14ac:dyDescent="0.25">
      <c r="A357" s="161" t="s">
        <v>13</v>
      </c>
      <c r="B357" s="170">
        <v>1.69</v>
      </c>
      <c r="C357" s="160" t="s">
        <v>8</v>
      </c>
      <c r="D357" s="160" t="s">
        <v>14</v>
      </c>
      <c r="E357" s="162">
        <v>45738</v>
      </c>
    </row>
    <row r="358" spans="1:5" x14ac:dyDescent="0.25">
      <c r="A358" s="163" t="s">
        <v>13</v>
      </c>
      <c r="B358" s="169">
        <v>81.03</v>
      </c>
      <c r="C358" s="165" t="s">
        <v>8</v>
      </c>
      <c r="D358" s="165" t="s">
        <v>14</v>
      </c>
      <c r="E358" s="164">
        <v>45738</v>
      </c>
    </row>
    <row r="359" spans="1:5" x14ac:dyDescent="0.25">
      <c r="A359" s="161" t="s">
        <v>15</v>
      </c>
      <c r="B359" s="170">
        <v>16.920000000000002</v>
      </c>
      <c r="C359" s="160" t="s">
        <v>8</v>
      </c>
      <c r="D359" s="160" t="s">
        <v>16</v>
      </c>
      <c r="E359" s="162">
        <v>45739</v>
      </c>
    </row>
    <row r="360" spans="1:5" x14ac:dyDescent="0.25">
      <c r="A360" s="163" t="s">
        <v>398</v>
      </c>
      <c r="B360" s="169">
        <v>62</v>
      </c>
      <c r="C360" s="165" t="s">
        <v>8</v>
      </c>
      <c r="D360" s="165" t="s">
        <v>36</v>
      </c>
      <c r="E360" s="164">
        <v>45739</v>
      </c>
    </row>
    <row r="361" spans="1:5" x14ac:dyDescent="0.25">
      <c r="A361" s="161" t="s">
        <v>188</v>
      </c>
      <c r="B361" s="170">
        <v>45.99</v>
      </c>
      <c r="C361" s="160" t="s">
        <v>8</v>
      </c>
      <c r="D361" s="160" t="s">
        <v>36</v>
      </c>
      <c r="E361" s="162">
        <v>45739</v>
      </c>
    </row>
    <row r="362" spans="1:5" x14ac:dyDescent="0.25">
      <c r="A362" s="163" t="s">
        <v>13</v>
      </c>
      <c r="B362" s="169">
        <v>13.16</v>
      </c>
      <c r="C362" s="165" t="s">
        <v>8</v>
      </c>
      <c r="D362" s="165" t="s">
        <v>14</v>
      </c>
      <c r="E362" s="164">
        <v>45739</v>
      </c>
    </row>
    <row r="363" spans="1:5" x14ac:dyDescent="0.25">
      <c r="A363" s="161" t="s">
        <v>120</v>
      </c>
      <c r="B363" s="170">
        <v>11.15</v>
      </c>
      <c r="C363" s="160" t="s">
        <v>8</v>
      </c>
      <c r="D363" s="160" t="s">
        <v>31</v>
      </c>
      <c r="E363" s="162">
        <v>45740</v>
      </c>
    </row>
    <row r="364" spans="1:5" x14ac:dyDescent="0.25">
      <c r="A364" s="163" t="s">
        <v>120</v>
      </c>
      <c r="B364" s="169">
        <v>9.4</v>
      </c>
      <c r="C364" s="165" t="s">
        <v>8</v>
      </c>
      <c r="D364" s="165" t="s">
        <v>31</v>
      </c>
      <c r="E364" s="164">
        <v>45740</v>
      </c>
    </row>
    <row r="365" spans="1:5" x14ac:dyDescent="0.25">
      <c r="A365" s="161" t="s">
        <v>120</v>
      </c>
      <c r="B365" s="170">
        <v>8.1</v>
      </c>
      <c r="C365" s="160" t="s">
        <v>8</v>
      </c>
      <c r="D365" s="160" t="s">
        <v>31</v>
      </c>
      <c r="E365" s="162">
        <v>45740</v>
      </c>
    </row>
    <row r="366" spans="1:5" x14ac:dyDescent="0.25">
      <c r="A366" s="163" t="s">
        <v>133</v>
      </c>
      <c r="B366" s="169">
        <v>12.96</v>
      </c>
      <c r="C366" s="165" t="s">
        <v>8</v>
      </c>
      <c r="D366" s="165" t="s">
        <v>16</v>
      </c>
      <c r="E366" s="164">
        <v>45740</v>
      </c>
    </row>
    <row r="367" spans="1:5" x14ac:dyDescent="0.25">
      <c r="A367" s="161" t="s">
        <v>15</v>
      </c>
      <c r="B367" s="170">
        <v>82.84</v>
      </c>
      <c r="C367" s="160" t="s">
        <v>8</v>
      </c>
      <c r="D367" s="160" t="s">
        <v>16</v>
      </c>
      <c r="E367" s="162">
        <v>45740</v>
      </c>
    </row>
    <row r="368" spans="1:5" x14ac:dyDescent="0.25">
      <c r="A368" s="163" t="s">
        <v>399</v>
      </c>
      <c r="B368" s="169">
        <v>8</v>
      </c>
      <c r="C368" s="165" t="s">
        <v>8</v>
      </c>
      <c r="D368" s="165" t="s">
        <v>11</v>
      </c>
      <c r="E368" s="164">
        <v>45741</v>
      </c>
    </row>
    <row r="369" spans="1:5" x14ac:dyDescent="0.25">
      <c r="A369" s="161" t="s">
        <v>400</v>
      </c>
      <c r="B369" s="170">
        <v>54.991666666666667</v>
      </c>
      <c r="C369" s="160" t="s">
        <v>8</v>
      </c>
      <c r="D369" s="160" t="s">
        <v>11</v>
      </c>
      <c r="E369" s="162">
        <v>45742</v>
      </c>
    </row>
    <row r="370" spans="1:5" x14ac:dyDescent="0.25">
      <c r="A370" s="163" t="s">
        <v>401</v>
      </c>
      <c r="B370" s="169">
        <v>87.19</v>
      </c>
      <c r="C370" s="165" t="s">
        <v>8</v>
      </c>
      <c r="D370" s="165" t="s">
        <v>36</v>
      </c>
      <c r="E370" s="164">
        <v>45742</v>
      </c>
    </row>
    <row r="371" spans="1:5" x14ac:dyDescent="0.25">
      <c r="A371" s="161" t="s">
        <v>402</v>
      </c>
      <c r="B371" s="170">
        <v>12.9</v>
      </c>
      <c r="C371" s="160" t="s">
        <v>8</v>
      </c>
      <c r="D371" s="160" t="s">
        <v>20</v>
      </c>
      <c r="E371" s="162">
        <v>45744</v>
      </c>
    </row>
    <row r="372" spans="1:5" x14ac:dyDescent="0.25">
      <c r="A372" s="163" t="s">
        <v>403</v>
      </c>
      <c r="B372" s="169">
        <v>97</v>
      </c>
      <c r="C372" s="165" t="s">
        <v>8</v>
      </c>
      <c r="D372" s="165" t="s">
        <v>36</v>
      </c>
      <c r="E372" s="164">
        <v>45744</v>
      </c>
    </row>
    <row r="373" spans="1:5" x14ac:dyDescent="0.25">
      <c r="A373" s="161" t="s">
        <v>404</v>
      </c>
      <c r="B373" s="170">
        <v>39</v>
      </c>
      <c r="C373" s="160" t="s">
        <v>8</v>
      </c>
      <c r="D373" s="160" t="s">
        <v>11</v>
      </c>
      <c r="E373" s="162">
        <v>45745</v>
      </c>
    </row>
    <row r="374" spans="1:5" x14ac:dyDescent="0.25">
      <c r="A374" s="163" t="s">
        <v>188</v>
      </c>
      <c r="B374" s="169">
        <v>25.4</v>
      </c>
      <c r="C374" s="165" t="s">
        <v>8</v>
      </c>
      <c r="D374" s="165" t="s">
        <v>16</v>
      </c>
      <c r="E374" s="164">
        <v>45745</v>
      </c>
    </row>
    <row r="375" spans="1:5" x14ac:dyDescent="0.25">
      <c r="A375" s="161" t="s">
        <v>405</v>
      </c>
      <c r="B375" s="170">
        <v>59</v>
      </c>
      <c r="C375" s="160" t="s">
        <v>8</v>
      </c>
      <c r="D375" s="160" t="s">
        <v>11</v>
      </c>
      <c r="E375" s="162">
        <v>45745</v>
      </c>
    </row>
    <row r="376" spans="1:5" x14ac:dyDescent="0.25">
      <c r="A376" s="163" t="s">
        <v>406</v>
      </c>
      <c r="B376" s="169">
        <v>40</v>
      </c>
      <c r="C376" s="165" t="s">
        <v>8</v>
      </c>
      <c r="D376" s="165" t="s">
        <v>16</v>
      </c>
      <c r="E376" s="164">
        <v>45744</v>
      </c>
    </row>
    <row r="377" spans="1:5" x14ac:dyDescent="0.25">
      <c r="A377" s="161" t="s">
        <v>188</v>
      </c>
      <c r="B377" s="170">
        <v>45.99</v>
      </c>
      <c r="C377" s="160" t="s">
        <v>8</v>
      </c>
      <c r="D377" s="160" t="s">
        <v>16</v>
      </c>
      <c r="E377" s="162">
        <v>45746</v>
      </c>
    </row>
    <row r="378" spans="1:5" x14ac:dyDescent="0.25">
      <c r="A378" s="163" t="s">
        <v>407</v>
      </c>
      <c r="B378" s="169">
        <v>99.596666666666678</v>
      </c>
      <c r="C378" s="165" t="s">
        <v>8</v>
      </c>
      <c r="D378" s="165" t="s">
        <v>11</v>
      </c>
      <c r="E378" s="164">
        <v>45746</v>
      </c>
    </row>
    <row r="379" spans="1:5" x14ac:dyDescent="0.25">
      <c r="A379" s="161" t="s">
        <v>408</v>
      </c>
      <c r="B379" s="170">
        <v>200</v>
      </c>
      <c r="C379" s="160" t="s">
        <v>8</v>
      </c>
      <c r="D379" s="160" t="s">
        <v>63</v>
      </c>
      <c r="E379" s="162">
        <v>45737</v>
      </c>
    </row>
    <row r="380" spans="1:5" x14ac:dyDescent="0.25">
      <c r="A380" s="163" t="s">
        <v>409</v>
      </c>
      <c r="B380" s="169">
        <v>250</v>
      </c>
      <c r="C380" s="165" t="s">
        <v>8</v>
      </c>
      <c r="D380" s="165" t="s">
        <v>63</v>
      </c>
      <c r="E380" s="164">
        <v>45747</v>
      </c>
    </row>
    <row r="381" spans="1:5" x14ac:dyDescent="0.25">
      <c r="A381" s="165" t="s">
        <v>60</v>
      </c>
      <c r="B381" s="156">
        <v>102</v>
      </c>
      <c r="C381" s="165" t="s">
        <v>8</v>
      </c>
      <c r="D381" s="165" t="s">
        <v>61</v>
      </c>
      <c r="E381" s="158">
        <v>45750</v>
      </c>
    </row>
    <row r="382" spans="1:5" x14ac:dyDescent="0.25">
      <c r="A382" s="160" t="s">
        <v>62</v>
      </c>
      <c r="B382" s="157">
        <v>400</v>
      </c>
      <c r="C382" s="160" t="s">
        <v>8</v>
      </c>
      <c r="D382" s="160" t="s">
        <v>63</v>
      </c>
      <c r="E382" s="159">
        <v>45750</v>
      </c>
    </row>
    <row r="383" spans="1:5" x14ac:dyDescent="0.25">
      <c r="A383" s="165" t="s">
        <v>64</v>
      </c>
      <c r="B383" s="156">
        <v>289.89999999999998</v>
      </c>
      <c r="C383" s="165" t="s">
        <v>8</v>
      </c>
      <c r="D383" s="165" t="s">
        <v>61</v>
      </c>
      <c r="E383" s="158">
        <v>45752</v>
      </c>
    </row>
    <row r="384" spans="1:5" x14ac:dyDescent="0.25">
      <c r="A384" s="160" t="s">
        <v>66</v>
      </c>
      <c r="B384" s="157">
        <v>150</v>
      </c>
      <c r="C384" s="160" t="s">
        <v>8</v>
      </c>
      <c r="D384" s="160" t="s">
        <v>63</v>
      </c>
      <c r="E384" s="159">
        <v>45757</v>
      </c>
    </row>
    <row r="385" spans="1:5" x14ac:dyDescent="0.25">
      <c r="A385" s="165" t="s">
        <v>372</v>
      </c>
      <c r="B385" s="156">
        <v>180.3</v>
      </c>
      <c r="C385" s="165" t="s">
        <v>8</v>
      </c>
      <c r="D385" s="165" t="s">
        <v>68</v>
      </c>
      <c r="E385" s="158">
        <v>45760</v>
      </c>
    </row>
    <row r="386" spans="1:5" x14ac:dyDescent="0.25">
      <c r="A386" s="160" t="s">
        <v>69</v>
      </c>
      <c r="B386" s="157">
        <v>4590.3</v>
      </c>
      <c r="C386" s="160" t="s">
        <v>8</v>
      </c>
      <c r="D386" s="160" t="s">
        <v>70</v>
      </c>
      <c r="E386" s="159">
        <v>45762</v>
      </c>
    </row>
    <row r="387" spans="1:5" x14ac:dyDescent="0.25">
      <c r="A387" s="165" t="s">
        <v>71</v>
      </c>
      <c r="B387" s="156">
        <v>5679.6</v>
      </c>
      <c r="C387" s="165" t="s">
        <v>72</v>
      </c>
      <c r="D387" s="165" t="s">
        <v>73</v>
      </c>
      <c r="E387" s="158">
        <v>45762</v>
      </c>
    </row>
    <row r="388" spans="1:5" x14ac:dyDescent="0.25">
      <c r="A388" s="160" t="s">
        <v>74</v>
      </c>
      <c r="B388" s="157">
        <v>5710.37</v>
      </c>
      <c r="C388" s="160" t="s">
        <v>72</v>
      </c>
      <c r="D388" s="160" t="s">
        <v>73</v>
      </c>
      <c r="E388" s="159">
        <v>45762</v>
      </c>
    </row>
    <row r="389" spans="1:5" x14ac:dyDescent="0.25">
      <c r="A389" s="165" t="s">
        <v>75</v>
      </c>
      <c r="B389" s="156">
        <v>60</v>
      </c>
      <c r="C389" s="165" t="s">
        <v>8</v>
      </c>
      <c r="D389" s="165" t="s">
        <v>63</v>
      </c>
      <c r="E389" s="158">
        <v>45765</v>
      </c>
    </row>
    <row r="390" spans="1:5" x14ac:dyDescent="0.25">
      <c r="A390" s="160" t="s">
        <v>76</v>
      </c>
      <c r="B390" s="157">
        <v>100</v>
      </c>
      <c r="C390" s="160" t="s">
        <v>8</v>
      </c>
      <c r="D390" s="160" t="s">
        <v>63</v>
      </c>
      <c r="E390" s="159">
        <v>45772</v>
      </c>
    </row>
    <row r="391" spans="1:5" x14ac:dyDescent="0.25">
      <c r="A391" s="165" t="s">
        <v>77</v>
      </c>
      <c r="B391" s="156">
        <v>49.9</v>
      </c>
      <c r="C391" s="165" t="s">
        <v>8</v>
      </c>
      <c r="D391" s="165" t="s">
        <v>20</v>
      </c>
      <c r="E391" s="158">
        <v>45772</v>
      </c>
    </row>
    <row r="392" spans="1:5" x14ac:dyDescent="0.25">
      <c r="A392" s="160" t="s">
        <v>78</v>
      </c>
      <c r="B392" s="157">
        <v>12.9</v>
      </c>
      <c r="C392" s="160" t="s">
        <v>8</v>
      </c>
      <c r="D392" s="160" t="s">
        <v>20</v>
      </c>
      <c r="E392" s="159">
        <v>45775</v>
      </c>
    </row>
    <row r="393" spans="1:5" x14ac:dyDescent="0.25">
      <c r="A393" s="165" t="s">
        <v>79</v>
      </c>
      <c r="B393" s="156"/>
      <c r="C393" s="165" t="s">
        <v>8</v>
      </c>
      <c r="D393" s="165" t="s">
        <v>68</v>
      </c>
      <c r="E393" s="158">
        <v>45777</v>
      </c>
    </row>
    <row r="394" spans="1:5" x14ac:dyDescent="0.25">
      <c r="A394" s="160" t="s">
        <v>80</v>
      </c>
      <c r="B394" s="157">
        <v>604.1</v>
      </c>
      <c r="C394" s="160" t="s">
        <v>8</v>
      </c>
      <c r="D394" s="160" t="s">
        <v>68</v>
      </c>
      <c r="E394" s="159">
        <v>45777</v>
      </c>
    </row>
    <row r="395" spans="1:5" x14ac:dyDescent="0.25">
      <c r="A395" s="165" t="s">
        <v>81</v>
      </c>
      <c r="B395" s="156">
        <v>113.7</v>
      </c>
      <c r="C395" s="165" t="s">
        <v>8</v>
      </c>
      <c r="D395" s="165" t="s">
        <v>68</v>
      </c>
      <c r="E395" s="158">
        <v>45777</v>
      </c>
    </row>
    <row r="396" spans="1:5" x14ac:dyDescent="0.25">
      <c r="A396" s="160" t="s">
        <v>82</v>
      </c>
      <c r="B396" s="157">
        <v>14.62</v>
      </c>
      <c r="C396" s="160" t="s">
        <v>8</v>
      </c>
      <c r="D396" s="160" t="s">
        <v>68</v>
      </c>
      <c r="E396" s="159">
        <v>45777</v>
      </c>
    </row>
    <row r="397" spans="1:5" x14ac:dyDescent="0.25">
      <c r="A397" s="165" t="s">
        <v>83</v>
      </c>
      <c r="B397" s="156">
        <v>4266.25</v>
      </c>
      <c r="C397" s="165" t="s">
        <v>72</v>
      </c>
      <c r="D397" s="165" t="s">
        <v>73</v>
      </c>
      <c r="E397" s="158">
        <v>45777</v>
      </c>
    </row>
    <row r="398" spans="1:5" x14ac:dyDescent="0.25">
      <c r="A398" s="160" t="s">
        <v>84</v>
      </c>
      <c r="B398" s="157">
        <v>3695.72</v>
      </c>
      <c r="C398" s="160" t="s">
        <v>72</v>
      </c>
      <c r="D398" s="160" t="s">
        <v>73</v>
      </c>
      <c r="E398" s="159">
        <v>45777</v>
      </c>
    </row>
    <row r="399" spans="1:5" x14ac:dyDescent="0.25">
      <c r="A399" s="165" t="s">
        <v>85</v>
      </c>
      <c r="B399" s="167">
        <v>25.9</v>
      </c>
      <c r="C399" s="165" t="s">
        <v>8</v>
      </c>
      <c r="D399" s="165" t="s">
        <v>20</v>
      </c>
      <c r="E399" s="158">
        <v>45795</v>
      </c>
    </row>
    <row r="400" spans="1:5" x14ac:dyDescent="0.25">
      <c r="A400" s="154" t="s">
        <v>315</v>
      </c>
      <c r="B400" s="157">
        <f>877.5/12</f>
        <v>73.125</v>
      </c>
      <c r="C400" s="154" t="s">
        <v>8</v>
      </c>
      <c r="D400" s="154" t="s">
        <v>16</v>
      </c>
      <c r="E400" s="159">
        <v>45629</v>
      </c>
    </row>
    <row r="401" spans="1:5" x14ac:dyDescent="0.25">
      <c r="A401" s="165" t="s">
        <v>337</v>
      </c>
      <c r="B401" s="167">
        <v>46.61</v>
      </c>
      <c r="C401" s="152" t="s">
        <v>8</v>
      </c>
      <c r="D401" s="165" t="s">
        <v>22</v>
      </c>
      <c r="E401" s="158">
        <v>45657</v>
      </c>
    </row>
    <row r="402" spans="1:5" x14ac:dyDescent="0.25">
      <c r="A402" s="154" t="s">
        <v>338</v>
      </c>
      <c r="B402" s="157">
        <v>51.68</v>
      </c>
      <c r="C402" s="154" t="s">
        <v>8</v>
      </c>
      <c r="D402" s="154" t="s">
        <v>11</v>
      </c>
      <c r="E402" s="159">
        <v>45643</v>
      </c>
    </row>
    <row r="403" spans="1:5" x14ac:dyDescent="0.25">
      <c r="A403" s="165" t="s">
        <v>316</v>
      </c>
      <c r="B403" s="167">
        <v>346.14</v>
      </c>
      <c r="C403" s="152" t="s">
        <v>8</v>
      </c>
      <c r="D403" s="165" t="s">
        <v>108</v>
      </c>
      <c r="E403" s="158">
        <v>45657</v>
      </c>
    </row>
    <row r="404" spans="1:5" x14ac:dyDescent="0.25">
      <c r="A404" s="154" t="s">
        <v>339</v>
      </c>
      <c r="B404" s="157">
        <v>33.36</v>
      </c>
      <c r="C404" s="154" t="s">
        <v>8</v>
      </c>
      <c r="D404" s="154" t="s">
        <v>11</v>
      </c>
      <c r="E404" s="159">
        <v>45639</v>
      </c>
    </row>
    <row r="405" spans="1:5" x14ac:dyDescent="0.25">
      <c r="A405" s="165" t="s">
        <v>340</v>
      </c>
      <c r="B405" s="167">
        <v>27.01</v>
      </c>
      <c r="C405" s="152" t="s">
        <v>8</v>
      </c>
      <c r="D405" s="165" t="s">
        <v>22</v>
      </c>
      <c r="E405" s="158">
        <v>45657</v>
      </c>
    </row>
    <row r="406" spans="1:5" x14ac:dyDescent="0.25">
      <c r="A406" s="160" t="s">
        <v>341</v>
      </c>
      <c r="B406" s="157">
        <v>95.62</v>
      </c>
      <c r="C406" s="160" t="s">
        <v>8</v>
      </c>
      <c r="D406" s="160" t="s">
        <v>14</v>
      </c>
      <c r="E406" s="159">
        <v>45663</v>
      </c>
    </row>
    <row r="407" spans="1:5" x14ac:dyDescent="0.25">
      <c r="A407" s="165" t="s">
        <v>318</v>
      </c>
      <c r="B407" s="156">
        <v>68.8</v>
      </c>
      <c r="C407" s="165" t="s">
        <v>8</v>
      </c>
      <c r="D407" s="165" t="s">
        <v>22</v>
      </c>
      <c r="E407" s="158">
        <v>45668</v>
      </c>
    </row>
    <row r="408" spans="1:5" x14ac:dyDescent="0.25">
      <c r="A408" s="154" t="s">
        <v>342</v>
      </c>
      <c r="B408" s="157">
        <f>216/6</f>
        <v>36</v>
      </c>
      <c r="C408" s="154" t="s">
        <v>8</v>
      </c>
      <c r="D408" s="154" t="s">
        <v>22</v>
      </c>
      <c r="E408" s="159">
        <v>45680</v>
      </c>
    </row>
    <row r="409" spans="1:5" x14ac:dyDescent="0.25">
      <c r="A409" s="152" t="s">
        <v>343</v>
      </c>
      <c r="B409" s="156">
        <f>598.8/12</f>
        <v>49.9</v>
      </c>
      <c r="C409" s="152" t="s">
        <v>8</v>
      </c>
      <c r="D409" s="152" t="s">
        <v>20</v>
      </c>
      <c r="E409" s="158">
        <v>45681</v>
      </c>
    </row>
    <row r="410" spans="1:5" x14ac:dyDescent="0.25">
      <c r="A410" s="154" t="s">
        <v>344</v>
      </c>
      <c r="B410" s="157">
        <f>197.94/6</f>
        <v>32.99</v>
      </c>
      <c r="C410" s="154" t="s">
        <v>8</v>
      </c>
      <c r="D410" s="154" t="s">
        <v>11</v>
      </c>
      <c r="E410" s="159">
        <v>45683</v>
      </c>
    </row>
    <row r="411" spans="1:5" x14ac:dyDescent="0.25">
      <c r="A411" s="152" t="s">
        <v>345</v>
      </c>
      <c r="B411" s="156">
        <f>595/4</f>
        <v>148.75</v>
      </c>
      <c r="C411" s="152" t="s">
        <v>8</v>
      </c>
      <c r="D411" s="152" t="s">
        <v>14</v>
      </c>
      <c r="E411" s="158">
        <v>45685</v>
      </c>
    </row>
    <row r="412" spans="1:5" x14ac:dyDescent="0.25">
      <c r="A412" s="154" t="s">
        <v>346</v>
      </c>
      <c r="B412" s="157">
        <f>(145.67+64.44)/5</f>
        <v>42.021999999999998</v>
      </c>
      <c r="C412" s="154" t="s">
        <v>8</v>
      </c>
      <c r="D412" s="154" t="s">
        <v>14</v>
      </c>
      <c r="E412" s="155">
        <v>45691</v>
      </c>
    </row>
    <row r="413" spans="1:5" x14ac:dyDescent="0.25">
      <c r="A413" s="152" t="s">
        <v>347</v>
      </c>
      <c r="B413" s="156">
        <f>44.54*2/5</f>
        <v>17.815999999999999</v>
      </c>
      <c r="C413" s="152" t="s">
        <v>8</v>
      </c>
      <c r="D413" s="152" t="s">
        <v>22</v>
      </c>
      <c r="E413" s="153">
        <v>45691</v>
      </c>
    </row>
    <row r="414" spans="1:5" x14ac:dyDescent="0.25">
      <c r="A414" s="154" t="s">
        <v>348</v>
      </c>
      <c r="B414" s="157">
        <v>42.66</v>
      </c>
      <c r="C414" s="154" t="s">
        <v>8</v>
      </c>
      <c r="D414" s="154" t="s">
        <v>11</v>
      </c>
      <c r="E414" s="155">
        <v>45698</v>
      </c>
    </row>
    <row r="415" spans="1:5" x14ac:dyDescent="0.25">
      <c r="A415" s="152" t="s">
        <v>349</v>
      </c>
      <c r="B415" s="156">
        <v>11.87</v>
      </c>
      <c r="C415" s="152" t="s">
        <v>8</v>
      </c>
      <c r="D415" s="152" t="s">
        <v>11</v>
      </c>
      <c r="E415" s="153">
        <v>45699</v>
      </c>
    </row>
    <row r="416" spans="1:5" x14ac:dyDescent="0.25">
      <c r="A416" s="154" t="s">
        <v>350</v>
      </c>
      <c r="B416" s="157">
        <f>199/6</f>
        <v>33.166666666666664</v>
      </c>
      <c r="C416" s="154" t="s">
        <v>8</v>
      </c>
      <c r="D416" s="154" t="s">
        <v>114</v>
      </c>
      <c r="E416" s="155">
        <v>45701</v>
      </c>
    </row>
    <row r="417" spans="1:5" x14ac:dyDescent="0.25">
      <c r="A417" s="152" t="s">
        <v>351</v>
      </c>
      <c r="B417" s="156">
        <f>29.4/5</f>
        <v>5.88</v>
      </c>
      <c r="C417" s="152" t="s">
        <v>8</v>
      </c>
      <c r="D417" s="152" t="s">
        <v>11</v>
      </c>
      <c r="E417" s="153">
        <v>45705</v>
      </c>
    </row>
    <row r="418" spans="1:5" x14ac:dyDescent="0.25">
      <c r="A418" s="154" t="s">
        <v>352</v>
      </c>
      <c r="B418" s="157">
        <v>116.33</v>
      </c>
      <c r="C418" s="154" t="s">
        <v>8</v>
      </c>
      <c r="D418" s="154" t="s">
        <v>11</v>
      </c>
      <c r="E418" s="155">
        <v>45710</v>
      </c>
    </row>
    <row r="419" spans="1:5" x14ac:dyDescent="0.25">
      <c r="A419" s="163" t="s">
        <v>282</v>
      </c>
      <c r="B419" s="169">
        <v>39.134999999999998</v>
      </c>
      <c r="C419" s="165" t="s">
        <v>8</v>
      </c>
      <c r="D419" s="165" t="s">
        <v>22</v>
      </c>
      <c r="E419" s="164">
        <v>45718</v>
      </c>
    </row>
    <row r="420" spans="1:5" x14ac:dyDescent="0.25">
      <c r="A420" s="161" t="s">
        <v>284</v>
      </c>
      <c r="B420" s="170">
        <v>173.72499999999999</v>
      </c>
      <c r="C420" s="160" t="s">
        <v>8</v>
      </c>
      <c r="D420" s="160" t="s">
        <v>14</v>
      </c>
      <c r="E420" s="162">
        <v>45719</v>
      </c>
    </row>
    <row r="421" spans="1:5" x14ac:dyDescent="0.25">
      <c r="A421" s="163" t="s">
        <v>286</v>
      </c>
      <c r="B421" s="169">
        <v>86.833333333333329</v>
      </c>
      <c r="C421" s="165" t="s">
        <v>8</v>
      </c>
      <c r="D421" s="165" t="s">
        <v>14</v>
      </c>
      <c r="E421" s="164">
        <v>45719</v>
      </c>
    </row>
    <row r="422" spans="1:5" x14ac:dyDescent="0.25">
      <c r="A422" s="161" t="s">
        <v>287</v>
      </c>
      <c r="B422" s="170">
        <v>57.179999999999993</v>
      </c>
      <c r="C422" s="160" t="s">
        <v>8</v>
      </c>
      <c r="D422" s="160" t="s">
        <v>22</v>
      </c>
      <c r="E422" s="162">
        <v>45719</v>
      </c>
    </row>
    <row r="423" spans="1:5" x14ac:dyDescent="0.25">
      <c r="A423" s="163" t="s">
        <v>288</v>
      </c>
      <c r="B423" s="169">
        <v>51.137500000000003</v>
      </c>
      <c r="C423" s="165" t="s">
        <v>8</v>
      </c>
      <c r="D423" s="165" t="s">
        <v>11</v>
      </c>
      <c r="E423" s="164">
        <v>45719</v>
      </c>
    </row>
    <row r="424" spans="1:5" x14ac:dyDescent="0.25">
      <c r="A424" s="161" t="s">
        <v>290</v>
      </c>
      <c r="B424" s="170">
        <v>52.987499999999997</v>
      </c>
      <c r="C424" s="160" t="s">
        <v>8</v>
      </c>
      <c r="D424" s="160" t="s">
        <v>61</v>
      </c>
      <c r="E424" s="162">
        <v>45721</v>
      </c>
    </row>
    <row r="425" spans="1:5" x14ac:dyDescent="0.25">
      <c r="A425" s="163" t="s">
        <v>384</v>
      </c>
      <c r="B425" s="169">
        <v>27.408333333333331</v>
      </c>
      <c r="C425" s="165" t="s">
        <v>8</v>
      </c>
      <c r="D425" s="165" t="s">
        <v>11</v>
      </c>
      <c r="E425" s="164">
        <v>45731</v>
      </c>
    </row>
    <row r="426" spans="1:5" x14ac:dyDescent="0.25">
      <c r="A426" s="161" t="s">
        <v>385</v>
      </c>
      <c r="B426" s="170">
        <v>27.406666666666666</v>
      </c>
      <c r="C426" s="160" t="s">
        <v>8</v>
      </c>
      <c r="D426" s="160" t="s">
        <v>14</v>
      </c>
      <c r="E426" s="162">
        <v>45731</v>
      </c>
    </row>
    <row r="427" spans="1:5" x14ac:dyDescent="0.25">
      <c r="A427" s="163" t="s">
        <v>391</v>
      </c>
      <c r="B427" s="169">
        <v>36.907499999999999</v>
      </c>
      <c r="C427" s="165" t="s">
        <v>8</v>
      </c>
      <c r="D427" s="165" t="s">
        <v>22</v>
      </c>
      <c r="E427" s="164">
        <v>45734</v>
      </c>
    </row>
    <row r="428" spans="1:5" x14ac:dyDescent="0.25">
      <c r="A428" s="161" t="s">
        <v>392</v>
      </c>
      <c r="B428" s="170">
        <v>133.25</v>
      </c>
      <c r="C428" s="160" t="s">
        <v>8</v>
      </c>
      <c r="D428" s="160" t="s">
        <v>22</v>
      </c>
      <c r="E428" s="162">
        <v>45734</v>
      </c>
    </row>
    <row r="429" spans="1:5" x14ac:dyDescent="0.25">
      <c r="A429" s="163" t="s">
        <v>394</v>
      </c>
      <c r="B429" s="169">
        <v>86.54</v>
      </c>
      <c r="C429" s="165" t="s">
        <v>8</v>
      </c>
      <c r="D429" s="165" t="s">
        <v>11</v>
      </c>
      <c r="E429" s="164">
        <v>45738</v>
      </c>
    </row>
    <row r="430" spans="1:5" x14ac:dyDescent="0.25">
      <c r="A430" s="161" t="s">
        <v>13</v>
      </c>
      <c r="B430" s="170">
        <v>81.03</v>
      </c>
      <c r="C430" s="160" t="s">
        <v>8</v>
      </c>
      <c r="D430" s="160" t="s">
        <v>14</v>
      </c>
      <c r="E430" s="162">
        <v>45738</v>
      </c>
    </row>
    <row r="431" spans="1:5" x14ac:dyDescent="0.25">
      <c r="A431" s="163" t="s">
        <v>400</v>
      </c>
      <c r="B431" s="169">
        <v>54.991666666666667</v>
      </c>
      <c r="C431" s="165" t="s">
        <v>8</v>
      </c>
      <c r="D431" s="165" t="s">
        <v>11</v>
      </c>
      <c r="E431" s="164">
        <v>45742</v>
      </c>
    </row>
    <row r="432" spans="1:5" x14ac:dyDescent="0.25">
      <c r="A432" s="161" t="s">
        <v>407</v>
      </c>
      <c r="B432" s="170">
        <v>99.596666666666678</v>
      </c>
      <c r="C432" s="160" t="s">
        <v>8</v>
      </c>
      <c r="D432" s="160" t="s">
        <v>11</v>
      </c>
      <c r="E432" s="162">
        <v>45746</v>
      </c>
    </row>
    <row r="433" spans="1:5" x14ac:dyDescent="0.25">
      <c r="A433" s="165" t="s">
        <v>410</v>
      </c>
      <c r="B433" s="169">
        <v>7.5</v>
      </c>
      <c r="C433" s="165" t="s">
        <v>8</v>
      </c>
      <c r="D433" s="163" t="s">
        <v>14</v>
      </c>
      <c r="E433" s="164">
        <v>45747</v>
      </c>
    </row>
    <row r="434" spans="1:5" x14ac:dyDescent="0.25">
      <c r="A434" s="161" t="s">
        <v>411</v>
      </c>
      <c r="B434" s="170">
        <v>15</v>
      </c>
      <c r="C434" s="160" t="s">
        <v>8</v>
      </c>
      <c r="D434" s="160" t="s">
        <v>16</v>
      </c>
      <c r="E434" s="162">
        <v>45748</v>
      </c>
    </row>
    <row r="435" spans="1:5" x14ac:dyDescent="0.25">
      <c r="A435" s="163" t="s">
        <v>412</v>
      </c>
      <c r="B435" s="169">
        <v>36.6</v>
      </c>
      <c r="C435" s="165" t="s">
        <v>8</v>
      </c>
      <c r="D435" s="165" t="s">
        <v>11</v>
      </c>
      <c r="E435" s="164">
        <v>45749</v>
      </c>
    </row>
    <row r="436" spans="1:5" x14ac:dyDescent="0.25">
      <c r="A436" s="161" t="s">
        <v>413</v>
      </c>
      <c r="B436" s="170">
        <v>50</v>
      </c>
      <c r="C436" s="160" t="s">
        <v>8</v>
      </c>
      <c r="D436" s="160" t="s">
        <v>14</v>
      </c>
      <c r="E436" s="162">
        <v>45750</v>
      </c>
    </row>
    <row r="437" spans="1:5" x14ac:dyDescent="0.25">
      <c r="A437" s="163" t="s">
        <v>25</v>
      </c>
      <c r="B437" s="169">
        <v>35</v>
      </c>
      <c r="C437" s="165" t="s">
        <v>8</v>
      </c>
      <c r="D437" s="165" t="s">
        <v>26</v>
      </c>
      <c r="E437" s="164">
        <v>45751</v>
      </c>
    </row>
    <row r="438" spans="1:5" x14ac:dyDescent="0.25">
      <c r="A438" s="161" t="s">
        <v>403</v>
      </c>
      <c r="B438" s="170">
        <v>133</v>
      </c>
      <c r="C438" s="160" t="s">
        <v>8</v>
      </c>
      <c r="D438" s="160" t="s">
        <v>36</v>
      </c>
      <c r="E438" s="162">
        <v>45751</v>
      </c>
    </row>
    <row r="439" spans="1:5" x14ac:dyDescent="0.25">
      <c r="A439" s="163" t="s">
        <v>415</v>
      </c>
      <c r="B439" s="169">
        <v>42</v>
      </c>
      <c r="C439" s="165" t="s">
        <v>8</v>
      </c>
      <c r="D439" s="165" t="s">
        <v>16</v>
      </c>
      <c r="E439" s="164">
        <v>45752</v>
      </c>
    </row>
    <row r="440" spans="1:5" x14ac:dyDescent="0.25">
      <c r="A440" s="161" t="s">
        <v>416</v>
      </c>
      <c r="B440" s="170">
        <v>37.6</v>
      </c>
      <c r="C440" s="160" t="s">
        <v>8</v>
      </c>
      <c r="D440" s="160" t="s">
        <v>11</v>
      </c>
      <c r="E440" s="162">
        <v>45752</v>
      </c>
    </row>
    <row r="441" spans="1:5" x14ac:dyDescent="0.25">
      <c r="A441" s="163" t="s">
        <v>417</v>
      </c>
      <c r="B441" s="169">
        <v>40.465000000000003</v>
      </c>
      <c r="C441" s="165" t="s">
        <v>8</v>
      </c>
      <c r="D441" s="165" t="s">
        <v>61</v>
      </c>
      <c r="E441" s="164">
        <v>45753</v>
      </c>
    </row>
    <row r="442" spans="1:5" x14ac:dyDescent="0.25">
      <c r="A442" s="161" t="s">
        <v>418</v>
      </c>
      <c r="B442" s="170">
        <v>52.28875</v>
      </c>
      <c r="C442" s="160" t="s">
        <v>8</v>
      </c>
      <c r="D442" s="160" t="s">
        <v>61</v>
      </c>
      <c r="E442" s="162">
        <v>45753</v>
      </c>
    </row>
    <row r="443" spans="1:5" x14ac:dyDescent="0.25">
      <c r="A443" s="163" t="s">
        <v>176</v>
      </c>
      <c r="B443" s="169">
        <v>5</v>
      </c>
      <c r="C443" s="165" t="s">
        <v>8</v>
      </c>
      <c r="D443" s="165" t="s">
        <v>63</v>
      </c>
      <c r="E443" s="164">
        <v>45753</v>
      </c>
    </row>
    <row r="444" spans="1:5" x14ac:dyDescent="0.25">
      <c r="A444" s="161" t="s">
        <v>120</v>
      </c>
      <c r="B444" s="170">
        <v>12.69</v>
      </c>
      <c r="C444" s="160" t="s">
        <v>8</v>
      </c>
      <c r="D444" s="160" t="s">
        <v>31</v>
      </c>
      <c r="E444" s="162">
        <v>45754</v>
      </c>
    </row>
    <row r="445" spans="1:5" x14ac:dyDescent="0.25">
      <c r="A445" s="163" t="s">
        <v>422</v>
      </c>
      <c r="B445" s="169">
        <v>27.995000000000001</v>
      </c>
      <c r="C445" s="165" t="s">
        <v>8</v>
      </c>
      <c r="D445" s="165" t="s">
        <v>11</v>
      </c>
      <c r="E445" s="164">
        <v>45754</v>
      </c>
    </row>
    <row r="446" spans="1:5" x14ac:dyDescent="0.25">
      <c r="A446" s="161" t="s">
        <v>423</v>
      </c>
      <c r="B446" s="170">
        <v>135</v>
      </c>
      <c r="C446" s="160" t="s">
        <v>8</v>
      </c>
      <c r="D446" s="160" t="s">
        <v>11</v>
      </c>
      <c r="E446" s="162">
        <v>45755</v>
      </c>
    </row>
    <row r="447" spans="1:5" x14ac:dyDescent="0.25">
      <c r="A447" s="163" t="s">
        <v>120</v>
      </c>
      <c r="B447" s="169">
        <v>9.3000000000000007</v>
      </c>
      <c r="C447" s="165" t="s">
        <v>8</v>
      </c>
      <c r="D447" s="165" t="s">
        <v>31</v>
      </c>
      <c r="E447" s="164">
        <v>45755</v>
      </c>
    </row>
    <row r="448" spans="1:5" x14ac:dyDescent="0.25">
      <c r="A448" s="161" t="s">
        <v>120</v>
      </c>
      <c r="B448" s="170">
        <v>8.1</v>
      </c>
      <c r="C448" s="160" t="s">
        <v>8</v>
      </c>
      <c r="D448" s="160" t="s">
        <v>31</v>
      </c>
      <c r="E448" s="162">
        <v>45755</v>
      </c>
    </row>
    <row r="449" spans="1:5" x14ac:dyDescent="0.25">
      <c r="A449" s="163" t="s">
        <v>424</v>
      </c>
      <c r="B449" s="169">
        <v>155</v>
      </c>
      <c r="C449" s="165" t="s">
        <v>8</v>
      </c>
      <c r="D449" s="165" t="s">
        <v>14</v>
      </c>
      <c r="E449" s="164">
        <v>45754</v>
      </c>
    </row>
    <row r="450" spans="1:5" x14ac:dyDescent="0.25">
      <c r="A450" s="161" t="s">
        <v>25</v>
      </c>
      <c r="B450" s="170">
        <v>50</v>
      </c>
      <c r="C450" s="160" t="s">
        <v>8</v>
      </c>
      <c r="D450" s="160" t="s">
        <v>26</v>
      </c>
      <c r="E450" s="162">
        <v>45755</v>
      </c>
    </row>
    <row r="451" spans="1:5" x14ac:dyDescent="0.25">
      <c r="A451" s="163" t="s">
        <v>425</v>
      </c>
      <c r="B451" s="169">
        <v>33.799999999999997</v>
      </c>
      <c r="C451" s="165" t="s">
        <v>8</v>
      </c>
      <c r="D451" s="165" t="s">
        <v>36</v>
      </c>
      <c r="E451" s="164">
        <v>45756</v>
      </c>
    </row>
    <row r="452" spans="1:5" x14ac:dyDescent="0.25">
      <c r="A452" s="161" t="s">
        <v>426</v>
      </c>
      <c r="B452" s="170">
        <v>4</v>
      </c>
      <c r="C452" s="160" t="s">
        <v>8</v>
      </c>
      <c r="D452" s="160" t="s">
        <v>11</v>
      </c>
      <c r="E452" s="162">
        <v>45756</v>
      </c>
    </row>
    <row r="453" spans="1:5" x14ac:dyDescent="0.25">
      <c r="A453" s="163" t="s">
        <v>120</v>
      </c>
      <c r="B453" s="169">
        <v>25.2</v>
      </c>
      <c r="C453" s="165" t="s">
        <v>8</v>
      </c>
      <c r="D453" s="165" t="s">
        <v>31</v>
      </c>
      <c r="E453" s="164">
        <v>45757</v>
      </c>
    </row>
    <row r="454" spans="1:5" x14ac:dyDescent="0.25">
      <c r="A454" s="161" t="s">
        <v>120</v>
      </c>
      <c r="B454" s="170">
        <v>3.7</v>
      </c>
      <c r="C454" s="160" t="s">
        <v>8</v>
      </c>
      <c r="D454" s="160" t="s">
        <v>31</v>
      </c>
      <c r="E454" s="162">
        <v>45757</v>
      </c>
    </row>
    <row r="455" spans="1:5" x14ac:dyDescent="0.25">
      <c r="A455" s="163" t="s">
        <v>120</v>
      </c>
      <c r="B455" s="169">
        <v>21.4</v>
      </c>
      <c r="C455" s="165" t="s">
        <v>8</v>
      </c>
      <c r="D455" s="165" t="s">
        <v>31</v>
      </c>
      <c r="E455" s="164">
        <v>45757</v>
      </c>
    </row>
    <row r="456" spans="1:5" x14ac:dyDescent="0.25">
      <c r="A456" s="161" t="s">
        <v>120</v>
      </c>
      <c r="B456" s="170">
        <v>3.22</v>
      </c>
      <c r="C456" s="160" t="s">
        <v>8</v>
      </c>
      <c r="D456" s="160" t="s">
        <v>31</v>
      </c>
      <c r="E456" s="162">
        <v>45757</v>
      </c>
    </row>
    <row r="457" spans="1:5" x14ac:dyDescent="0.25">
      <c r="A457" s="163" t="s">
        <v>427</v>
      </c>
      <c r="B457" s="169">
        <v>42</v>
      </c>
      <c r="C457" s="165" t="s">
        <v>8</v>
      </c>
      <c r="D457" s="165" t="s">
        <v>26</v>
      </c>
      <c r="E457" s="164">
        <v>45757</v>
      </c>
    </row>
    <row r="458" spans="1:5" x14ac:dyDescent="0.25">
      <c r="A458" s="161" t="s">
        <v>43</v>
      </c>
      <c r="B458" s="170">
        <v>268.74</v>
      </c>
      <c r="C458" s="160" t="s">
        <v>8</v>
      </c>
      <c r="D458" s="160" t="s">
        <v>118</v>
      </c>
      <c r="E458" s="162">
        <v>45758</v>
      </c>
    </row>
    <row r="459" spans="1:5" x14ac:dyDescent="0.25">
      <c r="A459" s="163" t="s">
        <v>410</v>
      </c>
      <c r="B459" s="169">
        <v>17.5</v>
      </c>
      <c r="C459" s="165" t="s">
        <v>8</v>
      </c>
      <c r="D459" s="165" t="s">
        <v>14</v>
      </c>
      <c r="E459" s="164">
        <v>45758</v>
      </c>
    </row>
    <row r="460" spans="1:5" x14ac:dyDescent="0.25">
      <c r="A460" s="161" t="s">
        <v>431</v>
      </c>
      <c r="B460" s="170">
        <v>78.400000000000006</v>
      </c>
      <c r="C460" s="160" t="s">
        <v>8</v>
      </c>
      <c r="D460" s="160" t="s">
        <v>36</v>
      </c>
      <c r="E460" s="162">
        <v>45758</v>
      </c>
    </row>
    <row r="461" spans="1:5" x14ac:dyDescent="0.25">
      <c r="A461" s="163" t="s">
        <v>429</v>
      </c>
      <c r="B461" s="169">
        <v>120</v>
      </c>
      <c r="C461" s="165" t="s">
        <v>8</v>
      </c>
      <c r="D461" s="165" t="s">
        <v>118</v>
      </c>
      <c r="E461" s="164">
        <v>45758</v>
      </c>
    </row>
    <row r="462" spans="1:5" x14ac:dyDescent="0.25">
      <c r="A462" s="161" t="s">
        <v>430</v>
      </c>
      <c r="B462" s="170">
        <v>100</v>
      </c>
      <c r="C462" s="160" t="s">
        <v>8</v>
      </c>
      <c r="D462" s="160" t="s">
        <v>118</v>
      </c>
      <c r="E462" s="162">
        <v>45758</v>
      </c>
    </row>
    <row r="463" spans="1:5" x14ac:dyDescent="0.25">
      <c r="A463" s="163" t="s">
        <v>428</v>
      </c>
      <c r="B463" s="169">
        <v>67.2</v>
      </c>
      <c r="C463" s="165" t="s">
        <v>8</v>
      </c>
      <c r="D463" s="165" t="s">
        <v>36</v>
      </c>
      <c r="E463" s="164">
        <v>45759</v>
      </c>
    </row>
    <row r="464" spans="1:5" x14ac:dyDescent="0.25">
      <c r="A464" s="161" t="s">
        <v>429</v>
      </c>
      <c r="B464" s="170">
        <v>30.6</v>
      </c>
      <c r="C464" s="160" t="s">
        <v>8</v>
      </c>
      <c r="D464" s="160" t="s">
        <v>31</v>
      </c>
      <c r="E464" s="162">
        <v>45759</v>
      </c>
    </row>
    <row r="465" spans="1:5" x14ac:dyDescent="0.25">
      <c r="A465" s="163" t="s">
        <v>13</v>
      </c>
      <c r="B465" s="169">
        <v>41.51</v>
      </c>
      <c r="C465" s="165" t="s">
        <v>8</v>
      </c>
      <c r="D465" s="165" t="s">
        <v>14</v>
      </c>
      <c r="E465" s="164">
        <v>45759</v>
      </c>
    </row>
    <row r="466" spans="1:5" x14ac:dyDescent="0.25">
      <c r="A466" s="161" t="s">
        <v>163</v>
      </c>
      <c r="B466" s="170">
        <v>69.900000000000006</v>
      </c>
      <c r="C466" s="160" t="s">
        <v>8</v>
      </c>
      <c r="D466" s="160" t="s">
        <v>22</v>
      </c>
      <c r="E466" s="162">
        <v>45760</v>
      </c>
    </row>
    <row r="467" spans="1:5" x14ac:dyDescent="0.25">
      <c r="A467" s="163" t="s">
        <v>394</v>
      </c>
      <c r="B467" s="169">
        <v>53.199999999999996</v>
      </c>
      <c r="C467" s="165" t="s">
        <v>8</v>
      </c>
      <c r="D467" s="165" t="s">
        <v>11</v>
      </c>
      <c r="E467" s="164">
        <v>45761</v>
      </c>
    </row>
    <row r="468" spans="1:5" x14ac:dyDescent="0.25">
      <c r="A468" s="161" t="s">
        <v>432</v>
      </c>
      <c r="B468" s="170">
        <v>39</v>
      </c>
      <c r="C468" s="160" t="s">
        <v>8</v>
      </c>
      <c r="D468" s="160" t="s">
        <v>36</v>
      </c>
      <c r="E468" s="162">
        <v>45761</v>
      </c>
    </row>
    <row r="469" spans="1:5" x14ac:dyDescent="0.25">
      <c r="A469" s="163" t="s">
        <v>382</v>
      </c>
      <c r="B469" s="169">
        <v>25</v>
      </c>
      <c r="C469" s="165" t="s">
        <v>8</v>
      </c>
      <c r="D469" s="165" t="s">
        <v>16</v>
      </c>
      <c r="E469" s="164">
        <v>45761</v>
      </c>
    </row>
    <row r="470" spans="1:5" x14ac:dyDescent="0.25">
      <c r="A470" s="161" t="s">
        <v>433</v>
      </c>
      <c r="B470" s="170">
        <v>31.9</v>
      </c>
      <c r="C470" s="160" t="s">
        <v>8</v>
      </c>
      <c r="D470" s="160" t="s">
        <v>36</v>
      </c>
      <c r="E470" s="162">
        <v>45762</v>
      </c>
    </row>
    <row r="471" spans="1:5" x14ac:dyDescent="0.25">
      <c r="A471" s="163" t="s">
        <v>43</v>
      </c>
      <c r="B471" s="169">
        <v>227.9</v>
      </c>
      <c r="C471" s="165" t="s">
        <v>8</v>
      </c>
      <c r="D471" s="165" t="s">
        <v>118</v>
      </c>
      <c r="E471" s="164">
        <v>45762</v>
      </c>
    </row>
    <row r="472" spans="1:5" x14ac:dyDescent="0.25">
      <c r="A472" s="161" t="s">
        <v>434</v>
      </c>
      <c r="B472" s="170">
        <v>15.6</v>
      </c>
      <c r="C472" s="160" t="s">
        <v>8</v>
      </c>
      <c r="D472" s="160" t="s">
        <v>36</v>
      </c>
      <c r="E472" s="162">
        <v>45762</v>
      </c>
    </row>
    <row r="473" spans="1:5" x14ac:dyDescent="0.25">
      <c r="A473" s="163" t="s">
        <v>429</v>
      </c>
      <c r="B473" s="169">
        <v>100</v>
      </c>
      <c r="C473" s="165" t="s">
        <v>8</v>
      </c>
      <c r="D473" s="165" t="s">
        <v>118</v>
      </c>
      <c r="E473" s="164">
        <v>45762</v>
      </c>
    </row>
    <row r="474" spans="1:5" x14ac:dyDescent="0.25">
      <c r="A474" s="161" t="s">
        <v>435</v>
      </c>
      <c r="B474" s="170">
        <v>41.4</v>
      </c>
      <c r="C474" s="160" t="s">
        <v>8</v>
      </c>
      <c r="D474" s="160" t="s">
        <v>36</v>
      </c>
      <c r="E474" s="162">
        <v>45764</v>
      </c>
    </row>
    <row r="475" spans="1:5" x14ac:dyDescent="0.25">
      <c r="A475" s="163" t="s">
        <v>436</v>
      </c>
      <c r="B475" s="169">
        <v>79.680000000000007</v>
      </c>
      <c r="C475" s="165" t="s">
        <v>8</v>
      </c>
      <c r="D475" s="165" t="s">
        <v>11</v>
      </c>
      <c r="E475" s="164">
        <v>45764</v>
      </c>
    </row>
    <row r="476" spans="1:5" x14ac:dyDescent="0.25">
      <c r="A476" s="161" t="s">
        <v>380</v>
      </c>
      <c r="B476" s="170">
        <v>227.97</v>
      </c>
      <c r="C476" s="160" t="s">
        <v>8</v>
      </c>
      <c r="D476" s="160" t="s">
        <v>68</v>
      </c>
      <c r="E476" s="162">
        <v>45764</v>
      </c>
    </row>
    <row r="477" spans="1:5" x14ac:dyDescent="0.25">
      <c r="A477" s="163" t="s">
        <v>43</v>
      </c>
      <c r="B477" s="169">
        <v>296.48</v>
      </c>
      <c r="C477" s="165" t="s">
        <v>8</v>
      </c>
      <c r="D477" s="165" t="s">
        <v>118</v>
      </c>
      <c r="E477" s="164">
        <v>45768</v>
      </c>
    </row>
    <row r="478" spans="1:5" x14ac:dyDescent="0.25">
      <c r="A478" s="161" t="s">
        <v>430</v>
      </c>
      <c r="B478" s="170">
        <v>50</v>
      </c>
      <c r="C478" s="160" t="s">
        <v>8</v>
      </c>
      <c r="D478" s="160" t="s">
        <v>118</v>
      </c>
      <c r="E478" s="162">
        <v>45768</v>
      </c>
    </row>
    <row r="479" spans="1:5" x14ac:dyDescent="0.25">
      <c r="A479" s="163" t="s">
        <v>430</v>
      </c>
      <c r="B479" s="169">
        <v>50</v>
      </c>
      <c r="C479" s="165" t="s">
        <v>8</v>
      </c>
      <c r="D479" s="165" t="s">
        <v>118</v>
      </c>
      <c r="E479" s="164">
        <v>45768</v>
      </c>
    </row>
    <row r="480" spans="1:5" x14ac:dyDescent="0.25">
      <c r="A480" s="161" t="s">
        <v>437</v>
      </c>
      <c r="B480" s="170">
        <v>24.5</v>
      </c>
      <c r="C480" s="160" t="s">
        <v>8</v>
      </c>
      <c r="D480" s="160" t="s">
        <v>36</v>
      </c>
      <c r="E480" s="162">
        <v>45768</v>
      </c>
    </row>
    <row r="481" spans="1:5" x14ac:dyDescent="0.25">
      <c r="A481" s="163" t="s">
        <v>438</v>
      </c>
      <c r="B481" s="169">
        <v>170</v>
      </c>
      <c r="C481" s="165" t="s">
        <v>8</v>
      </c>
      <c r="D481" s="165" t="s">
        <v>14</v>
      </c>
      <c r="E481" s="164">
        <v>45769</v>
      </c>
    </row>
    <row r="482" spans="1:5" x14ac:dyDescent="0.25">
      <c r="A482" s="161" t="s">
        <v>411</v>
      </c>
      <c r="B482" s="170">
        <v>20</v>
      </c>
      <c r="C482" s="160" t="s">
        <v>8</v>
      </c>
      <c r="D482" s="160" t="s">
        <v>16</v>
      </c>
      <c r="E482" s="162">
        <v>45769</v>
      </c>
    </row>
    <row r="483" spans="1:5" x14ac:dyDescent="0.25">
      <c r="A483" s="163" t="s">
        <v>430</v>
      </c>
      <c r="B483" s="169">
        <v>50</v>
      </c>
      <c r="C483" s="165" t="s">
        <v>8</v>
      </c>
      <c r="D483" s="165" t="s">
        <v>118</v>
      </c>
      <c r="E483" s="164">
        <v>45770</v>
      </c>
    </row>
    <row r="484" spans="1:5" x14ac:dyDescent="0.25">
      <c r="A484" s="161" t="s">
        <v>13</v>
      </c>
      <c r="B484" s="170">
        <v>28.19</v>
      </c>
      <c r="C484" s="160" t="s">
        <v>8</v>
      </c>
      <c r="D484" s="160" t="s">
        <v>14</v>
      </c>
      <c r="E484" s="162">
        <v>45770</v>
      </c>
    </row>
    <row r="485" spans="1:5" x14ac:dyDescent="0.25">
      <c r="A485" s="163" t="s">
        <v>439</v>
      </c>
      <c r="B485" s="169">
        <v>123.5</v>
      </c>
      <c r="C485" s="165" t="s">
        <v>8</v>
      </c>
      <c r="D485" s="165" t="s">
        <v>11</v>
      </c>
      <c r="E485" s="164">
        <v>45771</v>
      </c>
    </row>
    <row r="486" spans="1:5" x14ac:dyDescent="0.25">
      <c r="A486" s="160" t="s">
        <v>449</v>
      </c>
      <c r="B486" s="170">
        <v>470.9</v>
      </c>
      <c r="C486" s="160" t="s">
        <v>8</v>
      </c>
      <c r="D486" s="160" t="s">
        <v>68</v>
      </c>
      <c r="E486" s="162">
        <v>45771</v>
      </c>
    </row>
    <row r="487" spans="1:5" x14ac:dyDescent="0.25">
      <c r="A487" s="163" t="s">
        <v>416</v>
      </c>
      <c r="B487" s="169">
        <v>36.199999999999996</v>
      </c>
      <c r="C487" s="165" t="s">
        <v>8</v>
      </c>
      <c r="D487" s="165" t="s">
        <v>11</v>
      </c>
      <c r="E487" s="164">
        <v>45772</v>
      </c>
    </row>
    <row r="488" spans="1:5" x14ac:dyDescent="0.25">
      <c r="A488" s="161" t="s">
        <v>403</v>
      </c>
      <c r="B488" s="170">
        <v>155</v>
      </c>
      <c r="C488" s="160" t="s">
        <v>8</v>
      </c>
      <c r="D488" s="160" t="s">
        <v>36</v>
      </c>
      <c r="E488" s="162">
        <v>45772</v>
      </c>
    </row>
    <row r="489" spans="1:5" x14ac:dyDescent="0.25">
      <c r="A489" s="163" t="s">
        <v>120</v>
      </c>
      <c r="B489" s="169">
        <v>13.9</v>
      </c>
      <c r="C489" s="165" t="s">
        <v>8</v>
      </c>
      <c r="D489" s="165" t="s">
        <v>31</v>
      </c>
      <c r="E489" s="164">
        <v>45773</v>
      </c>
    </row>
    <row r="490" spans="1:5" x14ac:dyDescent="0.25">
      <c r="A490" s="161" t="s">
        <v>440</v>
      </c>
      <c r="B490" s="170">
        <v>50.6</v>
      </c>
      <c r="C490" s="160" t="s">
        <v>8</v>
      </c>
      <c r="D490" s="160" t="s">
        <v>11</v>
      </c>
      <c r="E490" s="162">
        <v>45773</v>
      </c>
    </row>
    <row r="491" spans="1:5" x14ac:dyDescent="0.25">
      <c r="A491" s="163" t="s">
        <v>441</v>
      </c>
      <c r="B491" s="169">
        <v>201.51</v>
      </c>
      <c r="C491" s="165" t="s">
        <v>8</v>
      </c>
      <c r="D491" s="165" t="s">
        <v>31</v>
      </c>
      <c r="E491" s="164">
        <v>45773</v>
      </c>
    </row>
    <row r="492" spans="1:5" x14ac:dyDescent="0.25">
      <c r="A492" s="161" t="s">
        <v>133</v>
      </c>
      <c r="B492" s="170">
        <v>24.76</v>
      </c>
      <c r="C492" s="160" t="s">
        <v>8</v>
      </c>
      <c r="D492" s="160" t="s">
        <v>16</v>
      </c>
      <c r="E492" s="162">
        <v>45773</v>
      </c>
    </row>
    <row r="493" spans="1:5" x14ac:dyDescent="0.25">
      <c r="A493" s="163" t="s">
        <v>440</v>
      </c>
      <c r="B493" s="169">
        <v>43.094999999999999</v>
      </c>
      <c r="C493" s="165" t="s">
        <v>8</v>
      </c>
      <c r="D493" s="165" t="s">
        <v>11</v>
      </c>
      <c r="E493" s="164">
        <v>45773</v>
      </c>
    </row>
    <row r="494" spans="1:5" x14ac:dyDescent="0.25">
      <c r="A494" s="161" t="s">
        <v>133</v>
      </c>
      <c r="B494" s="170">
        <v>55.85</v>
      </c>
      <c r="C494" s="160" t="s">
        <v>8</v>
      </c>
      <c r="D494" s="160" t="s">
        <v>16</v>
      </c>
      <c r="E494" s="162">
        <v>45773</v>
      </c>
    </row>
    <row r="495" spans="1:5" x14ac:dyDescent="0.25">
      <c r="A495" s="163" t="s">
        <v>442</v>
      </c>
      <c r="B495" s="169">
        <v>133.19</v>
      </c>
      <c r="C495" s="165" t="s">
        <v>8</v>
      </c>
      <c r="D495" s="165" t="s">
        <v>36</v>
      </c>
      <c r="E495" s="164">
        <v>45773</v>
      </c>
    </row>
    <row r="496" spans="1:5" x14ac:dyDescent="0.25">
      <c r="A496" s="161" t="s">
        <v>443</v>
      </c>
      <c r="B496" s="170">
        <v>71.7</v>
      </c>
      <c r="C496" s="160" t="s">
        <v>8</v>
      </c>
      <c r="D496" s="160" t="s">
        <v>11</v>
      </c>
      <c r="E496" s="162">
        <v>45774</v>
      </c>
    </row>
    <row r="497" spans="1:5" x14ac:dyDescent="0.25">
      <c r="A497" s="163" t="s">
        <v>43</v>
      </c>
      <c r="B497" s="169">
        <v>44.06</v>
      </c>
      <c r="C497" s="165" t="s">
        <v>8</v>
      </c>
      <c r="D497" s="165" t="s">
        <v>31</v>
      </c>
      <c r="E497" s="164">
        <v>45774</v>
      </c>
    </row>
    <row r="498" spans="1:5" x14ac:dyDescent="0.25">
      <c r="A498" s="161" t="s">
        <v>444</v>
      </c>
      <c r="B498" s="170">
        <v>57.95</v>
      </c>
      <c r="C498" s="160" t="s">
        <v>8</v>
      </c>
      <c r="D498" s="160" t="s">
        <v>36</v>
      </c>
      <c r="E498" s="162">
        <v>45774</v>
      </c>
    </row>
    <row r="499" spans="1:5" x14ac:dyDescent="0.25">
      <c r="A499" s="163" t="s">
        <v>445</v>
      </c>
      <c r="B499" s="169">
        <v>86.4</v>
      </c>
      <c r="C499" s="165" t="s">
        <v>8</v>
      </c>
      <c r="D499" s="165" t="s">
        <v>36</v>
      </c>
      <c r="E499" s="164">
        <v>45774</v>
      </c>
    </row>
    <row r="500" spans="1:5" x14ac:dyDescent="0.25">
      <c r="A500" s="161" t="s">
        <v>120</v>
      </c>
      <c r="B500" s="170">
        <v>13.57</v>
      </c>
      <c r="C500" s="160" t="s">
        <v>8</v>
      </c>
      <c r="D500" s="160" t="s">
        <v>31</v>
      </c>
      <c r="E500" s="162">
        <v>45773</v>
      </c>
    </row>
    <row r="501" spans="1:5" x14ac:dyDescent="0.25">
      <c r="A501" s="163" t="s">
        <v>120</v>
      </c>
      <c r="B501" s="169">
        <v>6.96</v>
      </c>
      <c r="C501" s="165" t="s">
        <v>8</v>
      </c>
      <c r="D501" s="165" t="s">
        <v>31</v>
      </c>
      <c r="E501" s="164">
        <v>45774</v>
      </c>
    </row>
    <row r="502" spans="1:5" x14ac:dyDescent="0.25">
      <c r="A502" s="161" t="s">
        <v>446</v>
      </c>
      <c r="B502" s="170">
        <v>65.400000000000006</v>
      </c>
      <c r="C502" s="160" t="s">
        <v>8</v>
      </c>
      <c r="D502" s="160" t="s">
        <v>14</v>
      </c>
      <c r="E502" s="162">
        <v>45775</v>
      </c>
    </row>
    <row r="503" spans="1:5" x14ac:dyDescent="0.25">
      <c r="A503" s="163" t="s">
        <v>447</v>
      </c>
      <c r="B503" s="169">
        <v>50.949999999999996</v>
      </c>
      <c r="C503" s="165" t="s">
        <v>8</v>
      </c>
      <c r="D503" s="165" t="s">
        <v>14</v>
      </c>
      <c r="E503" s="164">
        <v>45775</v>
      </c>
    </row>
    <row r="504" spans="1:5" x14ac:dyDescent="0.25">
      <c r="A504" s="161" t="s">
        <v>410</v>
      </c>
      <c r="B504" s="170">
        <v>15</v>
      </c>
      <c r="C504" s="160" t="s">
        <v>8</v>
      </c>
      <c r="D504" s="160" t="s">
        <v>14</v>
      </c>
      <c r="E504" s="162">
        <v>45775</v>
      </c>
    </row>
    <row r="505" spans="1:5" x14ac:dyDescent="0.25">
      <c r="A505" s="163" t="s">
        <v>133</v>
      </c>
      <c r="B505" s="169">
        <v>56.57</v>
      </c>
      <c r="C505" s="165" t="s">
        <v>8</v>
      </c>
      <c r="D505" s="165" t="s">
        <v>16</v>
      </c>
      <c r="E505" s="164">
        <v>45776</v>
      </c>
    </row>
    <row r="506" spans="1:5" x14ac:dyDescent="0.25">
      <c r="A506" s="161" t="s">
        <v>448</v>
      </c>
      <c r="B506" s="170">
        <v>550</v>
      </c>
      <c r="C506" s="160" t="s">
        <v>8</v>
      </c>
      <c r="D506" s="160" t="s">
        <v>63</v>
      </c>
      <c r="E506" s="162">
        <v>45777</v>
      </c>
    </row>
    <row r="507" spans="1:5" x14ac:dyDescent="0.25">
      <c r="A507" s="165" t="s">
        <v>450</v>
      </c>
      <c r="B507" s="169">
        <v>450</v>
      </c>
      <c r="C507" s="165" t="s">
        <v>8</v>
      </c>
      <c r="D507" s="165" t="s">
        <v>68</v>
      </c>
      <c r="E507" s="164">
        <v>45777</v>
      </c>
    </row>
    <row r="508" spans="1:5" x14ac:dyDescent="0.25">
      <c r="A508" s="160" t="s">
        <v>120</v>
      </c>
      <c r="B508" s="170">
        <v>13.49</v>
      </c>
      <c r="C508" s="160" t="s">
        <v>8</v>
      </c>
      <c r="D508" s="160" t="s">
        <v>31</v>
      </c>
      <c r="E508" s="162">
        <v>45777</v>
      </c>
    </row>
    <row r="509" spans="1:5" x14ac:dyDescent="0.25">
      <c r="A509" s="165" t="s">
        <v>165</v>
      </c>
      <c r="B509" s="169">
        <v>16.489999999999998</v>
      </c>
      <c r="C509" s="165" t="s">
        <v>8</v>
      </c>
      <c r="D509" s="165" t="s">
        <v>16</v>
      </c>
      <c r="E509" s="164">
        <v>45777</v>
      </c>
    </row>
    <row r="510" spans="1:5" x14ac:dyDescent="0.25">
      <c r="A510" s="160" t="s">
        <v>452</v>
      </c>
      <c r="B510" s="170">
        <v>7.38</v>
      </c>
      <c r="C510" s="160" t="s">
        <v>8</v>
      </c>
      <c r="D510" s="160" t="s">
        <v>16</v>
      </c>
      <c r="E510" s="162">
        <v>45777</v>
      </c>
    </row>
    <row r="511" spans="1:5" x14ac:dyDescent="0.25">
      <c r="A511" s="152" t="s">
        <v>255</v>
      </c>
      <c r="B511" s="156">
        <f>877.5/12</f>
        <v>73.125</v>
      </c>
      <c r="C511" s="152" t="s">
        <v>8</v>
      </c>
      <c r="D511" s="152" t="s">
        <v>16</v>
      </c>
      <c r="E511" s="158">
        <v>45629</v>
      </c>
    </row>
    <row r="512" spans="1:5" x14ac:dyDescent="0.25">
      <c r="A512" s="154" t="s">
        <v>258</v>
      </c>
      <c r="B512" s="157">
        <v>33.36</v>
      </c>
      <c r="C512" s="154" t="s">
        <v>8</v>
      </c>
      <c r="D512" s="154" t="s">
        <v>11</v>
      </c>
      <c r="E512" s="159">
        <v>45639</v>
      </c>
    </row>
    <row r="513" spans="1:5" x14ac:dyDescent="0.25">
      <c r="A513" s="152" t="s">
        <v>256</v>
      </c>
      <c r="B513" s="156">
        <v>51.68</v>
      </c>
      <c r="C513" s="152" t="s">
        <v>8</v>
      </c>
      <c r="D513" s="152" t="s">
        <v>11</v>
      </c>
      <c r="E513" s="158">
        <v>45643</v>
      </c>
    </row>
    <row r="514" spans="1:5" x14ac:dyDescent="0.25">
      <c r="A514" s="160" t="s">
        <v>257</v>
      </c>
      <c r="B514" s="168">
        <v>346.14</v>
      </c>
      <c r="C514" s="154" t="s">
        <v>8</v>
      </c>
      <c r="D514" s="160" t="s">
        <v>108</v>
      </c>
      <c r="E514" s="159">
        <v>45657</v>
      </c>
    </row>
    <row r="515" spans="1:5" x14ac:dyDescent="0.25">
      <c r="A515" s="165" t="s">
        <v>259</v>
      </c>
      <c r="B515" s="167">
        <v>27.01</v>
      </c>
      <c r="C515" s="152" t="s">
        <v>8</v>
      </c>
      <c r="D515" s="165" t="s">
        <v>22</v>
      </c>
      <c r="E515" s="158">
        <v>45657</v>
      </c>
    </row>
    <row r="516" spans="1:5" x14ac:dyDescent="0.25">
      <c r="A516" s="160" t="s">
        <v>260</v>
      </c>
      <c r="B516" s="157">
        <v>68.8</v>
      </c>
      <c r="C516" s="160" t="s">
        <v>8</v>
      </c>
      <c r="D516" s="160" t="s">
        <v>22</v>
      </c>
      <c r="E516" s="159">
        <v>45668</v>
      </c>
    </row>
    <row r="517" spans="1:5" x14ac:dyDescent="0.25">
      <c r="A517" s="152" t="s">
        <v>261</v>
      </c>
      <c r="B517" s="156">
        <f>216/6</f>
        <v>36</v>
      </c>
      <c r="C517" s="152" t="s">
        <v>8</v>
      </c>
      <c r="D517" s="152" t="s">
        <v>22</v>
      </c>
      <c r="E517" s="158">
        <v>45680</v>
      </c>
    </row>
    <row r="518" spans="1:5" x14ac:dyDescent="0.25">
      <c r="A518" s="154" t="s">
        <v>262</v>
      </c>
      <c r="B518" s="157">
        <f>598.8/12</f>
        <v>49.9</v>
      </c>
      <c r="C518" s="154" t="s">
        <v>8</v>
      </c>
      <c r="D518" s="154" t="s">
        <v>20</v>
      </c>
      <c r="E518" s="159">
        <v>45681</v>
      </c>
    </row>
    <row r="519" spans="1:5" x14ac:dyDescent="0.25">
      <c r="A519" s="152" t="s">
        <v>263</v>
      </c>
      <c r="B519" s="156">
        <f>197.94/6</f>
        <v>32.99</v>
      </c>
      <c r="C519" s="152" t="s">
        <v>8</v>
      </c>
      <c r="D519" s="152" t="s">
        <v>11</v>
      </c>
      <c r="E519" s="158">
        <v>45683</v>
      </c>
    </row>
    <row r="520" spans="1:5" x14ac:dyDescent="0.25">
      <c r="A520" s="154" t="s">
        <v>264</v>
      </c>
      <c r="B520" s="157">
        <f>(145.67+64.44)/5</f>
        <v>42.021999999999998</v>
      </c>
      <c r="C520" s="154" t="s">
        <v>8</v>
      </c>
      <c r="D520" s="154" t="s">
        <v>14</v>
      </c>
      <c r="E520" s="155">
        <v>45691</v>
      </c>
    </row>
    <row r="521" spans="1:5" x14ac:dyDescent="0.25">
      <c r="A521" s="152" t="s">
        <v>265</v>
      </c>
      <c r="B521" s="156">
        <f>44.54*2/5</f>
        <v>17.815999999999999</v>
      </c>
      <c r="C521" s="152" t="s">
        <v>8</v>
      </c>
      <c r="D521" s="152" t="s">
        <v>22</v>
      </c>
      <c r="E521" s="153">
        <v>45691</v>
      </c>
    </row>
    <row r="522" spans="1:5" x14ac:dyDescent="0.25">
      <c r="A522" s="154" t="s">
        <v>266</v>
      </c>
      <c r="B522" s="157">
        <v>42.66</v>
      </c>
      <c r="C522" s="154" t="s">
        <v>8</v>
      </c>
      <c r="D522" s="154" t="s">
        <v>11</v>
      </c>
      <c r="E522" s="155">
        <v>45698</v>
      </c>
    </row>
    <row r="523" spans="1:5" x14ac:dyDescent="0.25">
      <c r="A523" s="152" t="s">
        <v>267</v>
      </c>
      <c r="B523" s="156">
        <v>11.87</v>
      </c>
      <c r="C523" s="152" t="s">
        <v>8</v>
      </c>
      <c r="D523" s="152" t="s">
        <v>11</v>
      </c>
      <c r="E523" s="153">
        <v>45699</v>
      </c>
    </row>
    <row r="524" spans="1:5" x14ac:dyDescent="0.25">
      <c r="A524" s="154" t="s">
        <v>268</v>
      </c>
      <c r="B524" s="157">
        <f>199/6</f>
        <v>33.166666666666664</v>
      </c>
      <c r="C524" s="154" t="s">
        <v>8</v>
      </c>
      <c r="D524" s="154" t="s">
        <v>114</v>
      </c>
      <c r="E524" s="155">
        <v>45701</v>
      </c>
    </row>
    <row r="525" spans="1:5" x14ac:dyDescent="0.25">
      <c r="A525" s="152" t="s">
        <v>269</v>
      </c>
      <c r="B525" s="156">
        <f>29.4/5</f>
        <v>5.88</v>
      </c>
      <c r="C525" s="152" t="s">
        <v>8</v>
      </c>
      <c r="D525" s="152" t="s">
        <v>11</v>
      </c>
      <c r="E525" s="153">
        <v>45705</v>
      </c>
    </row>
    <row r="526" spans="1:5" x14ac:dyDescent="0.25">
      <c r="A526" s="154" t="s">
        <v>270</v>
      </c>
      <c r="B526" s="157">
        <v>116.33</v>
      </c>
      <c r="C526" s="154" t="s">
        <v>8</v>
      </c>
      <c r="D526" s="154" t="s">
        <v>11</v>
      </c>
      <c r="E526" s="155">
        <v>45710</v>
      </c>
    </row>
    <row r="527" spans="1:5" x14ac:dyDescent="0.25">
      <c r="A527" s="163" t="s">
        <v>282</v>
      </c>
      <c r="B527" s="169">
        <v>39.134999999999998</v>
      </c>
      <c r="C527" s="165" t="s">
        <v>8</v>
      </c>
      <c r="D527" s="165" t="s">
        <v>22</v>
      </c>
      <c r="E527" s="164">
        <v>45718</v>
      </c>
    </row>
    <row r="528" spans="1:5" x14ac:dyDescent="0.25">
      <c r="A528" s="161" t="s">
        <v>284</v>
      </c>
      <c r="B528" s="170">
        <v>173.72499999999999</v>
      </c>
      <c r="C528" s="160" t="s">
        <v>8</v>
      </c>
      <c r="D528" s="160" t="s">
        <v>14</v>
      </c>
      <c r="E528" s="162">
        <v>45719</v>
      </c>
    </row>
    <row r="529" spans="1:5" x14ac:dyDescent="0.25">
      <c r="A529" s="163" t="s">
        <v>286</v>
      </c>
      <c r="B529" s="169">
        <v>86.833333333333329</v>
      </c>
      <c r="C529" s="165" t="s">
        <v>8</v>
      </c>
      <c r="D529" s="165" t="s">
        <v>14</v>
      </c>
      <c r="E529" s="164">
        <v>45719</v>
      </c>
    </row>
    <row r="530" spans="1:5" x14ac:dyDescent="0.25">
      <c r="A530" s="161" t="s">
        <v>287</v>
      </c>
      <c r="B530" s="170">
        <v>57.179999999999993</v>
      </c>
      <c r="C530" s="160" t="s">
        <v>8</v>
      </c>
      <c r="D530" s="160" t="s">
        <v>22</v>
      </c>
      <c r="E530" s="162">
        <v>45719</v>
      </c>
    </row>
    <row r="531" spans="1:5" x14ac:dyDescent="0.25">
      <c r="A531" s="163" t="s">
        <v>288</v>
      </c>
      <c r="B531" s="169">
        <v>51.137500000000003</v>
      </c>
      <c r="C531" s="165" t="s">
        <v>8</v>
      </c>
      <c r="D531" s="165" t="s">
        <v>11</v>
      </c>
      <c r="E531" s="164">
        <v>45719</v>
      </c>
    </row>
    <row r="532" spans="1:5" x14ac:dyDescent="0.25">
      <c r="A532" s="161" t="s">
        <v>290</v>
      </c>
      <c r="B532" s="170">
        <v>52.987499999999997</v>
      </c>
      <c r="C532" s="160" t="s">
        <v>8</v>
      </c>
      <c r="D532" s="160" t="s">
        <v>61</v>
      </c>
      <c r="E532" s="162">
        <v>45721</v>
      </c>
    </row>
    <row r="533" spans="1:5" x14ac:dyDescent="0.25">
      <c r="A533" s="163" t="s">
        <v>384</v>
      </c>
      <c r="B533" s="169">
        <v>27.408333333333331</v>
      </c>
      <c r="C533" s="165" t="s">
        <v>8</v>
      </c>
      <c r="D533" s="165" t="s">
        <v>11</v>
      </c>
      <c r="E533" s="164">
        <v>45731</v>
      </c>
    </row>
    <row r="534" spans="1:5" x14ac:dyDescent="0.25">
      <c r="A534" s="161" t="s">
        <v>385</v>
      </c>
      <c r="B534" s="170">
        <v>27.406666666666666</v>
      </c>
      <c r="C534" s="160" t="s">
        <v>8</v>
      </c>
      <c r="D534" s="160" t="s">
        <v>14</v>
      </c>
      <c r="E534" s="162">
        <v>45731</v>
      </c>
    </row>
    <row r="535" spans="1:5" x14ac:dyDescent="0.25">
      <c r="A535" s="163" t="s">
        <v>391</v>
      </c>
      <c r="B535" s="169">
        <v>36.907499999999999</v>
      </c>
      <c r="C535" s="165" t="s">
        <v>8</v>
      </c>
      <c r="D535" s="165" t="s">
        <v>22</v>
      </c>
      <c r="E535" s="164">
        <v>45734</v>
      </c>
    </row>
    <row r="536" spans="1:5" x14ac:dyDescent="0.25">
      <c r="A536" s="161" t="s">
        <v>392</v>
      </c>
      <c r="B536" s="170">
        <v>133.25</v>
      </c>
      <c r="C536" s="160" t="s">
        <v>8</v>
      </c>
      <c r="D536" s="160" t="s">
        <v>22</v>
      </c>
      <c r="E536" s="162">
        <v>45734</v>
      </c>
    </row>
    <row r="537" spans="1:5" x14ac:dyDescent="0.25">
      <c r="A537" s="163" t="s">
        <v>394</v>
      </c>
      <c r="B537" s="169">
        <v>86.54</v>
      </c>
      <c r="C537" s="165" t="s">
        <v>8</v>
      </c>
      <c r="D537" s="165" t="s">
        <v>11</v>
      </c>
      <c r="E537" s="164">
        <v>45738</v>
      </c>
    </row>
    <row r="538" spans="1:5" x14ac:dyDescent="0.25">
      <c r="A538" s="161" t="s">
        <v>400</v>
      </c>
      <c r="B538" s="170">
        <v>54.991666666666667</v>
      </c>
      <c r="C538" s="160" t="s">
        <v>8</v>
      </c>
      <c r="D538" s="160" t="s">
        <v>11</v>
      </c>
      <c r="E538" s="162">
        <v>45742</v>
      </c>
    </row>
    <row r="539" spans="1:5" x14ac:dyDescent="0.25">
      <c r="A539" s="163" t="s">
        <v>407</v>
      </c>
      <c r="B539" s="169">
        <v>99.596666666666678</v>
      </c>
      <c r="C539" s="165" t="s">
        <v>8</v>
      </c>
      <c r="D539" s="165" t="s">
        <v>11</v>
      </c>
      <c r="E539" s="164">
        <v>45746</v>
      </c>
    </row>
    <row r="540" spans="1:5" x14ac:dyDescent="0.25">
      <c r="A540" s="161" t="s">
        <v>416</v>
      </c>
      <c r="B540" s="170">
        <v>37.6</v>
      </c>
      <c r="C540" s="160" t="s">
        <v>8</v>
      </c>
      <c r="D540" s="160" t="s">
        <v>11</v>
      </c>
      <c r="E540" s="162">
        <v>45752</v>
      </c>
    </row>
    <row r="541" spans="1:5" x14ac:dyDescent="0.25">
      <c r="A541" s="163" t="s">
        <v>417</v>
      </c>
      <c r="B541" s="169">
        <v>40.465000000000003</v>
      </c>
      <c r="C541" s="165" t="s">
        <v>8</v>
      </c>
      <c r="D541" s="165" t="s">
        <v>61</v>
      </c>
      <c r="E541" s="164">
        <v>45753</v>
      </c>
    </row>
    <row r="542" spans="1:5" x14ac:dyDescent="0.25">
      <c r="A542" s="161" t="s">
        <v>418</v>
      </c>
      <c r="B542" s="170">
        <v>52.28875</v>
      </c>
      <c r="C542" s="160" t="s">
        <v>8</v>
      </c>
      <c r="D542" s="160" t="s">
        <v>61</v>
      </c>
      <c r="E542" s="162">
        <v>45753</v>
      </c>
    </row>
    <row r="543" spans="1:5" x14ac:dyDescent="0.25">
      <c r="A543" s="163" t="s">
        <v>422</v>
      </c>
      <c r="B543" s="169">
        <v>27.995000000000001</v>
      </c>
      <c r="C543" s="165" t="s">
        <v>8</v>
      </c>
      <c r="D543" s="165" t="s">
        <v>11</v>
      </c>
      <c r="E543" s="164">
        <v>45754</v>
      </c>
    </row>
    <row r="544" spans="1:5" x14ac:dyDescent="0.25">
      <c r="A544" s="161" t="s">
        <v>394</v>
      </c>
      <c r="B544" s="170">
        <v>53.199999999999996</v>
      </c>
      <c r="C544" s="160" t="s">
        <v>8</v>
      </c>
      <c r="D544" s="160" t="s">
        <v>11</v>
      </c>
      <c r="E544" s="162">
        <v>45761</v>
      </c>
    </row>
    <row r="545" spans="1:5" x14ac:dyDescent="0.25">
      <c r="A545" s="163" t="s">
        <v>439</v>
      </c>
      <c r="B545" s="169">
        <v>123.5</v>
      </c>
      <c r="C545" s="165" t="s">
        <v>8</v>
      </c>
      <c r="D545" s="165" t="s">
        <v>11</v>
      </c>
      <c r="E545" s="164">
        <v>45771</v>
      </c>
    </row>
    <row r="546" spans="1:5" x14ac:dyDescent="0.25">
      <c r="A546" s="161" t="s">
        <v>416</v>
      </c>
      <c r="B546" s="170">
        <v>36.199999999999996</v>
      </c>
      <c r="C546" s="160" t="s">
        <v>8</v>
      </c>
      <c r="D546" s="160" t="s">
        <v>11</v>
      </c>
      <c r="E546" s="162">
        <v>45772</v>
      </c>
    </row>
    <row r="547" spans="1:5" x14ac:dyDescent="0.25">
      <c r="A547" s="163" t="s">
        <v>440</v>
      </c>
      <c r="B547" s="169">
        <v>43.094999999999999</v>
      </c>
      <c r="C547" s="165" t="s">
        <v>8</v>
      </c>
      <c r="D547" s="165" t="s">
        <v>11</v>
      </c>
      <c r="E547" s="164">
        <v>45773</v>
      </c>
    </row>
    <row r="548" spans="1:5" x14ac:dyDescent="0.25">
      <c r="A548" s="161" t="s">
        <v>447</v>
      </c>
      <c r="B548" s="170">
        <v>50.949999999999996</v>
      </c>
      <c r="C548" s="160" t="s">
        <v>8</v>
      </c>
      <c r="D548" s="160" t="s">
        <v>14</v>
      </c>
      <c r="E548" s="162">
        <v>45775</v>
      </c>
    </row>
    <row r="549" spans="1:5" x14ac:dyDescent="0.25">
      <c r="A549" s="165" t="s">
        <v>451</v>
      </c>
      <c r="B549" s="169">
        <v>56.1</v>
      </c>
      <c r="C549" s="165" t="s">
        <v>8</v>
      </c>
      <c r="D549" s="165" t="s">
        <v>36</v>
      </c>
      <c r="E549" s="164">
        <v>45777</v>
      </c>
    </row>
    <row r="550" spans="1:5" x14ac:dyDescent="0.25">
      <c r="A550" s="161" t="s">
        <v>453</v>
      </c>
      <c r="B550" s="170">
        <v>71</v>
      </c>
      <c r="C550" s="160" t="s">
        <v>8</v>
      </c>
      <c r="D550" s="160" t="s">
        <v>36</v>
      </c>
      <c r="E550" s="162">
        <v>45778</v>
      </c>
    </row>
    <row r="551" spans="1:5" x14ac:dyDescent="0.25">
      <c r="A551" s="163" t="s">
        <v>454</v>
      </c>
      <c r="B551" s="169">
        <v>90.24666666666667</v>
      </c>
      <c r="C551" s="165" t="s">
        <v>8</v>
      </c>
      <c r="D551" s="165" t="s">
        <v>14</v>
      </c>
      <c r="E551" s="164">
        <v>45778</v>
      </c>
    </row>
    <row r="552" spans="1:5" x14ac:dyDescent="0.25">
      <c r="A552" s="161" t="s">
        <v>133</v>
      </c>
      <c r="B552" s="170">
        <v>7.18</v>
      </c>
      <c r="C552" s="160" t="s">
        <v>8</v>
      </c>
      <c r="D552" s="160" t="s">
        <v>16</v>
      </c>
      <c r="E552" s="162">
        <v>45779</v>
      </c>
    </row>
    <row r="553" spans="1:5" x14ac:dyDescent="0.25">
      <c r="A553" s="163" t="s">
        <v>455</v>
      </c>
      <c r="B553" s="169">
        <v>88.8</v>
      </c>
      <c r="C553" s="165" t="s">
        <v>8</v>
      </c>
      <c r="D553" s="165" t="s">
        <v>114</v>
      </c>
      <c r="E553" s="164">
        <v>45779</v>
      </c>
    </row>
    <row r="554" spans="1:5" x14ac:dyDescent="0.25">
      <c r="A554" s="161" t="s">
        <v>456</v>
      </c>
      <c r="B554" s="170">
        <v>52.06</v>
      </c>
      <c r="C554" s="160" t="s">
        <v>8</v>
      </c>
      <c r="D554" s="160" t="s">
        <v>22</v>
      </c>
      <c r="E554" s="162">
        <v>45779</v>
      </c>
    </row>
    <row r="555" spans="1:5" x14ac:dyDescent="0.25">
      <c r="A555" s="165" t="s">
        <v>60</v>
      </c>
      <c r="B555" s="156">
        <v>119</v>
      </c>
      <c r="C555" s="165" t="s">
        <v>8</v>
      </c>
      <c r="D555" s="165" t="s">
        <v>61</v>
      </c>
      <c r="E555" s="158">
        <v>45780</v>
      </c>
    </row>
    <row r="556" spans="1:5" x14ac:dyDescent="0.25">
      <c r="A556" s="160" t="s">
        <v>62</v>
      </c>
      <c r="B556" s="157">
        <v>400</v>
      </c>
      <c r="C556" s="160" t="s">
        <v>8</v>
      </c>
      <c r="D556" s="160" t="s">
        <v>63</v>
      </c>
      <c r="E556" s="159">
        <v>45780</v>
      </c>
    </row>
    <row r="557" spans="1:5" x14ac:dyDescent="0.25">
      <c r="A557" s="163" t="s">
        <v>457</v>
      </c>
      <c r="B557" s="169">
        <v>39.699999999999996</v>
      </c>
      <c r="C557" s="165" t="s">
        <v>8</v>
      </c>
      <c r="D557" s="165" t="s">
        <v>114</v>
      </c>
      <c r="E557" s="164">
        <v>45780</v>
      </c>
    </row>
    <row r="558" spans="1:5" x14ac:dyDescent="0.25">
      <c r="A558" s="161" t="s">
        <v>458</v>
      </c>
      <c r="B558" s="170">
        <v>157.30000000000001</v>
      </c>
      <c r="C558" s="160" t="s">
        <v>8</v>
      </c>
      <c r="D558" s="160" t="s">
        <v>36</v>
      </c>
      <c r="E558" s="162">
        <v>45780</v>
      </c>
    </row>
    <row r="559" spans="1:5" x14ac:dyDescent="0.25">
      <c r="A559" s="163" t="s">
        <v>459</v>
      </c>
      <c r="B559" s="169">
        <v>20</v>
      </c>
      <c r="C559" s="165" t="s">
        <v>8</v>
      </c>
      <c r="D559" s="165" t="s">
        <v>36</v>
      </c>
      <c r="E559" s="164">
        <v>45781</v>
      </c>
    </row>
    <row r="560" spans="1:5" x14ac:dyDescent="0.25">
      <c r="A560" s="160" t="s">
        <v>64</v>
      </c>
      <c r="B560" s="157">
        <v>289.89999999999998</v>
      </c>
      <c r="C560" s="160" t="s">
        <v>8</v>
      </c>
      <c r="D560" s="160" t="s">
        <v>61</v>
      </c>
      <c r="E560" s="159">
        <v>45782</v>
      </c>
    </row>
    <row r="561" spans="1:5" x14ac:dyDescent="0.25">
      <c r="A561" s="163" t="s">
        <v>374</v>
      </c>
      <c r="B561" s="169">
        <v>20</v>
      </c>
      <c r="C561" s="165" t="s">
        <v>8</v>
      </c>
      <c r="D561" s="165" t="s">
        <v>16</v>
      </c>
      <c r="E561" s="164">
        <v>45782</v>
      </c>
    </row>
    <row r="562" spans="1:5" x14ac:dyDescent="0.25">
      <c r="A562" s="161" t="s">
        <v>43</v>
      </c>
      <c r="B562" s="170">
        <v>274.42</v>
      </c>
      <c r="C562" s="160" t="s">
        <v>8</v>
      </c>
      <c r="D562" s="160" t="s">
        <v>31</v>
      </c>
      <c r="E562" s="162">
        <v>45782</v>
      </c>
    </row>
    <row r="563" spans="1:5" x14ac:dyDescent="0.25">
      <c r="A563" s="163" t="s">
        <v>373</v>
      </c>
      <c r="B563" s="169">
        <v>5</v>
      </c>
      <c r="C563" s="165" t="s">
        <v>8</v>
      </c>
      <c r="D563" s="165" t="s">
        <v>63</v>
      </c>
      <c r="E563" s="164">
        <v>45783</v>
      </c>
    </row>
    <row r="564" spans="1:5" x14ac:dyDescent="0.25">
      <c r="A564" s="161" t="s">
        <v>120</v>
      </c>
      <c r="B564" s="170">
        <v>10.68</v>
      </c>
      <c r="C564" s="160" t="s">
        <v>8</v>
      </c>
      <c r="D564" s="160" t="s">
        <v>31</v>
      </c>
      <c r="E564" s="162">
        <v>45783</v>
      </c>
    </row>
    <row r="565" spans="1:5" x14ac:dyDescent="0.25">
      <c r="A565" s="163" t="s">
        <v>120</v>
      </c>
      <c r="B565" s="169">
        <v>16.920000000000002</v>
      </c>
      <c r="C565" s="165" t="s">
        <v>8</v>
      </c>
      <c r="D565" s="165" t="s">
        <v>31</v>
      </c>
      <c r="E565" s="164">
        <v>45783</v>
      </c>
    </row>
    <row r="566" spans="1:5" x14ac:dyDescent="0.25">
      <c r="A566" s="161" t="s">
        <v>25</v>
      </c>
      <c r="B566" s="170">
        <v>75</v>
      </c>
      <c r="C566" s="160" t="s">
        <v>8</v>
      </c>
      <c r="D566" s="160" t="s">
        <v>26</v>
      </c>
      <c r="E566" s="162">
        <v>45783</v>
      </c>
    </row>
    <row r="567" spans="1:5" x14ac:dyDescent="0.25">
      <c r="A567" s="163" t="s">
        <v>120</v>
      </c>
      <c r="B567" s="169">
        <v>10.73</v>
      </c>
      <c r="C567" s="165" t="s">
        <v>8</v>
      </c>
      <c r="D567" s="165" t="s">
        <v>31</v>
      </c>
      <c r="E567" s="164">
        <v>45784</v>
      </c>
    </row>
    <row r="568" spans="1:5" x14ac:dyDescent="0.25">
      <c r="A568" s="161" t="s">
        <v>461</v>
      </c>
      <c r="B568" s="170">
        <v>82.759999999999991</v>
      </c>
      <c r="C568" s="160" t="s">
        <v>8</v>
      </c>
      <c r="D568" s="160" t="s">
        <v>31</v>
      </c>
      <c r="E568" s="162">
        <v>45785</v>
      </c>
    </row>
    <row r="569" spans="1:5" x14ac:dyDescent="0.25">
      <c r="A569" s="163" t="s">
        <v>464</v>
      </c>
      <c r="B569" s="169">
        <v>165.05</v>
      </c>
      <c r="C569" s="165" t="s">
        <v>8</v>
      </c>
      <c r="D569" s="165" t="s">
        <v>11</v>
      </c>
      <c r="E569" s="164">
        <v>45785</v>
      </c>
    </row>
    <row r="570" spans="1:5" x14ac:dyDescent="0.25">
      <c r="A570" s="161" t="s">
        <v>177</v>
      </c>
      <c r="B570" s="170">
        <v>120</v>
      </c>
      <c r="C570" s="160" t="s">
        <v>8</v>
      </c>
      <c r="D570" s="160" t="s">
        <v>11</v>
      </c>
      <c r="E570" s="162">
        <v>45786</v>
      </c>
    </row>
    <row r="571" spans="1:5" x14ac:dyDescent="0.25">
      <c r="A571" s="163" t="s">
        <v>460</v>
      </c>
      <c r="B571" s="169">
        <v>46.5</v>
      </c>
      <c r="C571" s="165" t="s">
        <v>8</v>
      </c>
      <c r="D571" s="165" t="s">
        <v>36</v>
      </c>
      <c r="E571" s="164">
        <v>45786</v>
      </c>
    </row>
    <row r="572" spans="1:5" x14ac:dyDescent="0.25">
      <c r="A572" s="161" t="s">
        <v>133</v>
      </c>
      <c r="B572" s="170">
        <v>95.47</v>
      </c>
      <c r="C572" s="160" t="s">
        <v>8</v>
      </c>
      <c r="D572" s="160" t="s">
        <v>16</v>
      </c>
      <c r="E572" s="162">
        <v>45786</v>
      </c>
    </row>
    <row r="573" spans="1:5" x14ac:dyDescent="0.25">
      <c r="A573" s="163" t="s">
        <v>120</v>
      </c>
      <c r="B573" s="169">
        <v>18.14</v>
      </c>
      <c r="C573" s="165" t="s">
        <v>8</v>
      </c>
      <c r="D573" s="165" t="s">
        <v>31</v>
      </c>
      <c r="E573" s="164">
        <v>45786</v>
      </c>
    </row>
    <row r="574" spans="1:5" x14ac:dyDescent="0.25">
      <c r="A574" s="161" t="s">
        <v>120</v>
      </c>
      <c r="B574" s="170">
        <v>12.35</v>
      </c>
      <c r="C574" s="160" t="s">
        <v>8</v>
      </c>
      <c r="D574" s="160" t="s">
        <v>31</v>
      </c>
      <c r="E574" s="162">
        <v>45786</v>
      </c>
    </row>
    <row r="575" spans="1:5" x14ac:dyDescent="0.25">
      <c r="A575" s="163" t="s">
        <v>465</v>
      </c>
      <c r="B575" s="169">
        <v>30</v>
      </c>
      <c r="C575" s="165" t="s">
        <v>8</v>
      </c>
      <c r="D575" s="165" t="s">
        <v>36</v>
      </c>
      <c r="E575" s="164">
        <v>45786</v>
      </c>
    </row>
    <row r="576" spans="1:5" x14ac:dyDescent="0.25">
      <c r="A576" s="161" t="s">
        <v>466</v>
      </c>
      <c r="B576" s="170">
        <v>49</v>
      </c>
      <c r="C576" s="160" t="s">
        <v>8</v>
      </c>
      <c r="D576" s="160" t="s">
        <v>108</v>
      </c>
      <c r="E576" s="162">
        <v>45786</v>
      </c>
    </row>
    <row r="577" spans="1:5" x14ac:dyDescent="0.25">
      <c r="A577" s="165" t="s">
        <v>66</v>
      </c>
      <c r="B577" s="156">
        <v>150</v>
      </c>
      <c r="C577" s="165" t="s">
        <v>8</v>
      </c>
      <c r="D577" s="165" t="s">
        <v>63</v>
      </c>
      <c r="E577" s="158">
        <v>45787</v>
      </c>
    </row>
    <row r="578" spans="1:5" x14ac:dyDescent="0.25">
      <c r="A578" s="161" t="s">
        <v>462</v>
      </c>
      <c r="B578" s="170">
        <v>115</v>
      </c>
      <c r="C578" s="160" t="s">
        <v>8</v>
      </c>
      <c r="D578" s="160" t="s">
        <v>11</v>
      </c>
      <c r="E578" s="162">
        <v>45787</v>
      </c>
    </row>
    <row r="579" spans="1:5" x14ac:dyDescent="0.25">
      <c r="A579" s="163" t="s">
        <v>467</v>
      </c>
      <c r="B579" s="169">
        <v>25</v>
      </c>
      <c r="C579" s="165" t="s">
        <v>8</v>
      </c>
      <c r="D579" s="165" t="s">
        <v>36</v>
      </c>
      <c r="E579" s="164">
        <v>45787</v>
      </c>
    </row>
    <row r="580" spans="1:5" x14ac:dyDescent="0.25">
      <c r="A580" s="161" t="s">
        <v>468</v>
      </c>
      <c r="B580" s="170">
        <v>5.95</v>
      </c>
      <c r="C580" s="160" t="s">
        <v>8</v>
      </c>
      <c r="D580" s="160" t="s">
        <v>36</v>
      </c>
      <c r="E580" s="162">
        <v>45787</v>
      </c>
    </row>
    <row r="581" spans="1:5" x14ac:dyDescent="0.25">
      <c r="A581" s="163" t="s">
        <v>469</v>
      </c>
      <c r="B581" s="169">
        <v>176.88</v>
      </c>
      <c r="C581" s="165" t="s">
        <v>8</v>
      </c>
      <c r="D581" s="165" t="s">
        <v>36</v>
      </c>
      <c r="E581" s="164">
        <v>45787</v>
      </c>
    </row>
    <row r="582" spans="1:5" x14ac:dyDescent="0.25">
      <c r="A582" s="161" t="s">
        <v>128</v>
      </c>
      <c r="B582" s="170">
        <v>20</v>
      </c>
      <c r="C582" s="160" t="s">
        <v>8</v>
      </c>
      <c r="D582" s="160" t="s">
        <v>63</v>
      </c>
      <c r="E582" s="162">
        <v>45788</v>
      </c>
    </row>
    <row r="583" spans="1:5" x14ac:dyDescent="0.25">
      <c r="A583" s="163" t="s">
        <v>470</v>
      </c>
      <c r="B583" s="169">
        <v>471.64</v>
      </c>
      <c r="C583" s="165" t="s">
        <v>8</v>
      </c>
      <c r="D583" s="165" t="s">
        <v>36</v>
      </c>
      <c r="E583" s="164">
        <v>45788</v>
      </c>
    </row>
    <row r="584" spans="1:5" x14ac:dyDescent="0.25">
      <c r="A584" s="161" t="s">
        <v>463</v>
      </c>
      <c r="B584" s="170">
        <v>180</v>
      </c>
      <c r="C584" s="160" t="s">
        <v>8</v>
      </c>
      <c r="D584" s="160" t="s">
        <v>36</v>
      </c>
      <c r="E584" s="162">
        <v>45789</v>
      </c>
    </row>
    <row r="585" spans="1:5" x14ac:dyDescent="0.25">
      <c r="A585" s="165" t="s">
        <v>69</v>
      </c>
      <c r="B585" s="156">
        <v>5000</v>
      </c>
      <c r="C585" s="165" t="s">
        <v>8</v>
      </c>
      <c r="D585" s="165" t="s">
        <v>70</v>
      </c>
      <c r="E585" s="158">
        <v>45792</v>
      </c>
    </row>
    <row r="586" spans="1:5" x14ac:dyDescent="0.25">
      <c r="A586" s="160" t="s">
        <v>71</v>
      </c>
      <c r="B586" s="157">
        <v>5679.6</v>
      </c>
      <c r="C586" s="160" t="s">
        <v>72</v>
      </c>
      <c r="D586" s="160" t="s">
        <v>73</v>
      </c>
      <c r="E586" s="159">
        <v>45792</v>
      </c>
    </row>
    <row r="587" spans="1:5" x14ac:dyDescent="0.25">
      <c r="A587" s="165" t="s">
        <v>74</v>
      </c>
      <c r="B587" s="156">
        <v>5710.37</v>
      </c>
      <c r="C587" s="165" t="s">
        <v>72</v>
      </c>
      <c r="D587" s="165" t="s">
        <v>73</v>
      </c>
      <c r="E587" s="158">
        <v>45792</v>
      </c>
    </row>
    <row r="588" spans="1:5" x14ac:dyDescent="0.25">
      <c r="A588" s="160" t="s">
        <v>75</v>
      </c>
      <c r="B588" s="157">
        <v>60</v>
      </c>
      <c r="C588" s="160" t="s">
        <v>8</v>
      </c>
      <c r="D588" s="160" t="s">
        <v>63</v>
      </c>
      <c r="E588" s="159">
        <v>45795</v>
      </c>
    </row>
    <row r="589" spans="1:5" x14ac:dyDescent="0.25">
      <c r="A589" s="165" t="s">
        <v>85</v>
      </c>
      <c r="B589" s="167">
        <v>25.9</v>
      </c>
      <c r="C589" s="165" t="s">
        <v>8</v>
      </c>
      <c r="D589" s="165" t="s">
        <v>20</v>
      </c>
      <c r="E589" s="158">
        <v>45795</v>
      </c>
    </row>
    <row r="590" spans="1:5" x14ac:dyDescent="0.25">
      <c r="A590" s="160" t="s">
        <v>76</v>
      </c>
      <c r="B590" s="157">
        <v>100</v>
      </c>
      <c r="C590" s="160" t="s">
        <v>8</v>
      </c>
      <c r="D590" s="160" t="s">
        <v>63</v>
      </c>
      <c r="E590" s="159">
        <v>45802</v>
      </c>
    </row>
    <row r="591" spans="1:5" x14ac:dyDescent="0.25">
      <c r="A591" s="165" t="s">
        <v>77</v>
      </c>
      <c r="B591" s="156">
        <v>49.9</v>
      </c>
      <c r="C591" s="165" t="s">
        <v>8</v>
      </c>
      <c r="D591" s="165" t="s">
        <v>20</v>
      </c>
      <c r="E591" s="158">
        <v>45802</v>
      </c>
    </row>
    <row r="592" spans="1:5" x14ac:dyDescent="0.25">
      <c r="A592" s="160" t="s">
        <v>78</v>
      </c>
      <c r="B592" s="157">
        <v>12.9</v>
      </c>
      <c r="C592" s="160" t="s">
        <v>8</v>
      </c>
      <c r="D592" s="160" t="s">
        <v>20</v>
      </c>
      <c r="E592" s="159">
        <v>45805</v>
      </c>
    </row>
    <row r="593" spans="1:5" x14ac:dyDescent="0.25">
      <c r="A593" s="165" t="s">
        <v>80</v>
      </c>
      <c r="B593" s="156">
        <v>857.05</v>
      </c>
      <c r="C593" s="165" t="s">
        <v>8</v>
      </c>
      <c r="D593" s="165" t="s">
        <v>68</v>
      </c>
      <c r="E593" s="158">
        <v>45789</v>
      </c>
    </row>
    <row r="594" spans="1:5" x14ac:dyDescent="0.25">
      <c r="A594" s="160" t="s">
        <v>81</v>
      </c>
      <c r="B594" s="157">
        <v>113.7</v>
      </c>
      <c r="C594" s="160" t="s">
        <v>8</v>
      </c>
      <c r="D594" s="160" t="s">
        <v>68</v>
      </c>
      <c r="E594" s="159">
        <v>45807</v>
      </c>
    </row>
    <row r="595" spans="1:5" x14ac:dyDescent="0.25">
      <c r="A595" s="165" t="s">
        <v>82</v>
      </c>
      <c r="B595" s="156">
        <v>50</v>
      </c>
      <c r="C595" s="165" t="s">
        <v>8</v>
      </c>
      <c r="D595" s="165" t="s">
        <v>68</v>
      </c>
      <c r="E595" s="158">
        <v>45807</v>
      </c>
    </row>
    <row r="596" spans="1:5" x14ac:dyDescent="0.25">
      <c r="A596" s="160" t="s">
        <v>83</v>
      </c>
      <c r="B596" s="157">
        <v>4514.46</v>
      </c>
      <c r="C596" s="160" t="s">
        <v>72</v>
      </c>
      <c r="D596" s="160" t="s">
        <v>73</v>
      </c>
      <c r="E596" s="159">
        <v>45807</v>
      </c>
    </row>
    <row r="597" spans="1:5" x14ac:dyDescent="0.25">
      <c r="A597" s="165" t="s">
        <v>84</v>
      </c>
      <c r="B597" s="156">
        <v>3000</v>
      </c>
      <c r="C597" s="165" t="s">
        <v>72</v>
      </c>
      <c r="D597" s="165" t="s">
        <v>73</v>
      </c>
      <c r="E597" s="158">
        <v>45807</v>
      </c>
    </row>
    <row r="598" spans="1:5" x14ac:dyDescent="0.25">
      <c r="A598" s="160" t="s">
        <v>515</v>
      </c>
      <c r="B598" s="157">
        <v>2146.11</v>
      </c>
      <c r="C598" s="160" t="s">
        <v>72</v>
      </c>
      <c r="D598" s="160" t="s">
        <v>73</v>
      </c>
      <c r="E598" s="159">
        <v>45807</v>
      </c>
    </row>
    <row r="599" spans="1:5" x14ac:dyDescent="0.25">
      <c r="A599" s="163" t="s">
        <v>471</v>
      </c>
      <c r="B599" s="169">
        <v>122.45</v>
      </c>
      <c r="C599" s="165" t="s">
        <v>8</v>
      </c>
      <c r="D599" s="165" t="s">
        <v>11</v>
      </c>
      <c r="E599" s="164">
        <v>45789</v>
      </c>
    </row>
    <row r="600" spans="1:5" x14ac:dyDescent="0.25">
      <c r="A600" s="161" t="s">
        <v>120</v>
      </c>
      <c r="B600" s="170">
        <v>9.4700000000000006</v>
      </c>
      <c r="C600" s="160" t="s">
        <v>8</v>
      </c>
      <c r="D600" s="160" t="s">
        <v>31</v>
      </c>
      <c r="E600" s="162">
        <v>45789</v>
      </c>
    </row>
    <row r="601" spans="1:5" x14ac:dyDescent="0.25">
      <c r="A601" s="163" t="s">
        <v>120</v>
      </c>
      <c r="B601" s="169">
        <v>17.13</v>
      </c>
      <c r="C601" s="165" t="s">
        <v>8</v>
      </c>
      <c r="D601" s="165" t="s">
        <v>31</v>
      </c>
      <c r="E601" s="164">
        <v>45789</v>
      </c>
    </row>
    <row r="602" spans="1:5" x14ac:dyDescent="0.25">
      <c r="A602" s="161" t="s">
        <v>472</v>
      </c>
      <c r="B602" s="170">
        <v>43.52</v>
      </c>
      <c r="C602" s="160" t="s">
        <v>8</v>
      </c>
      <c r="D602" s="160" t="s">
        <v>16</v>
      </c>
      <c r="E602" s="162">
        <v>45789</v>
      </c>
    </row>
    <row r="603" spans="1:5" x14ac:dyDescent="0.25">
      <c r="A603" s="163" t="s">
        <v>120</v>
      </c>
      <c r="B603" s="169">
        <v>14.41</v>
      </c>
      <c r="C603" s="165" t="s">
        <v>8</v>
      </c>
      <c r="D603" s="165" t="s">
        <v>31</v>
      </c>
      <c r="E603" s="164">
        <v>45789</v>
      </c>
    </row>
    <row r="604" spans="1:5" x14ac:dyDescent="0.25">
      <c r="A604" s="161" t="s">
        <v>473</v>
      </c>
      <c r="B604" s="170">
        <v>21.94</v>
      </c>
      <c r="C604" s="160" t="s">
        <v>8</v>
      </c>
      <c r="D604" s="160" t="s">
        <v>11</v>
      </c>
      <c r="E604" s="162">
        <v>45789</v>
      </c>
    </row>
    <row r="605" spans="1:5" x14ac:dyDescent="0.25">
      <c r="A605" s="163" t="s">
        <v>474</v>
      </c>
      <c r="B605" s="169">
        <v>36</v>
      </c>
      <c r="C605" s="165" t="s">
        <v>8</v>
      </c>
      <c r="D605" s="165" t="s">
        <v>16</v>
      </c>
      <c r="E605" s="164">
        <v>45790</v>
      </c>
    </row>
    <row r="606" spans="1:5" x14ac:dyDescent="0.25">
      <c r="A606" s="161" t="s">
        <v>163</v>
      </c>
      <c r="B606" s="170">
        <v>69.900000000000006</v>
      </c>
      <c r="C606" s="160" t="s">
        <v>8</v>
      </c>
      <c r="D606" s="160" t="s">
        <v>22</v>
      </c>
      <c r="E606" s="162">
        <v>45790</v>
      </c>
    </row>
    <row r="607" spans="1:5" x14ac:dyDescent="0.25">
      <c r="A607" s="163" t="s">
        <v>475</v>
      </c>
      <c r="B607" s="169">
        <v>8</v>
      </c>
      <c r="C607" s="165" t="s">
        <v>8</v>
      </c>
      <c r="D607" s="165" t="s">
        <v>11</v>
      </c>
      <c r="E607" s="164">
        <v>45790</v>
      </c>
    </row>
    <row r="608" spans="1:5" x14ac:dyDescent="0.25">
      <c r="A608" s="161" t="s">
        <v>476</v>
      </c>
      <c r="B608" s="170">
        <v>45</v>
      </c>
      <c r="C608" s="160" t="s">
        <v>8</v>
      </c>
      <c r="D608" s="160" t="s">
        <v>14</v>
      </c>
      <c r="E608" s="162">
        <v>45791</v>
      </c>
    </row>
    <row r="609" spans="1:5" x14ac:dyDescent="0.25">
      <c r="A609" s="163" t="s">
        <v>120</v>
      </c>
      <c r="B609" s="169">
        <v>10.81</v>
      </c>
      <c r="C609" s="165" t="s">
        <v>8</v>
      </c>
      <c r="D609" s="165" t="s">
        <v>31</v>
      </c>
      <c r="E609" s="164">
        <v>45790</v>
      </c>
    </row>
    <row r="610" spans="1:5" x14ac:dyDescent="0.25">
      <c r="A610" s="161" t="s">
        <v>120</v>
      </c>
      <c r="B610" s="170">
        <v>9.4700000000000006</v>
      </c>
      <c r="C610" s="160" t="s">
        <v>8</v>
      </c>
      <c r="D610" s="160" t="s">
        <v>31</v>
      </c>
      <c r="E610" s="162">
        <v>45790</v>
      </c>
    </row>
    <row r="611" spans="1:5" x14ac:dyDescent="0.25">
      <c r="A611" s="163" t="s">
        <v>13</v>
      </c>
      <c r="B611" s="169">
        <v>31.9</v>
      </c>
      <c r="C611" s="165" t="s">
        <v>8</v>
      </c>
      <c r="D611" s="165" t="s">
        <v>14</v>
      </c>
      <c r="E611" s="164">
        <v>45790</v>
      </c>
    </row>
    <row r="612" spans="1:5" x14ac:dyDescent="0.25">
      <c r="A612" s="161" t="s">
        <v>133</v>
      </c>
      <c r="B612" s="170">
        <v>7.58</v>
      </c>
      <c r="C612" s="160" t="s">
        <v>8</v>
      </c>
      <c r="D612" s="160" t="s">
        <v>16</v>
      </c>
      <c r="E612" s="162">
        <v>45790</v>
      </c>
    </row>
    <row r="613" spans="1:5" x14ac:dyDescent="0.25">
      <c r="A613" s="163" t="s">
        <v>411</v>
      </c>
      <c r="B613" s="169">
        <v>20</v>
      </c>
      <c r="C613" s="165" t="s">
        <v>8</v>
      </c>
      <c r="D613" s="165" t="s">
        <v>16</v>
      </c>
      <c r="E613" s="164">
        <v>45791</v>
      </c>
    </row>
    <row r="614" spans="1:5" x14ac:dyDescent="0.25">
      <c r="A614" s="161" t="s">
        <v>468</v>
      </c>
      <c r="B614" s="170">
        <v>5.95</v>
      </c>
      <c r="C614" s="160" t="s">
        <v>8</v>
      </c>
      <c r="D614" s="160" t="s">
        <v>36</v>
      </c>
      <c r="E614" s="162">
        <v>45792</v>
      </c>
    </row>
    <row r="615" spans="1:5" x14ac:dyDescent="0.25">
      <c r="A615" s="165" t="s">
        <v>175</v>
      </c>
      <c r="B615" s="169">
        <v>152</v>
      </c>
      <c r="C615" s="165" t="s">
        <v>8</v>
      </c>
      <c r="D615" s="165" t="s">
        <v>22</v>
      </c>
      <c r="E615" s="164">
        <v>45792</v>
      </c>
    </row>
    <row r="616" spans="1:5" x14ac:dyDescent="0.25">
      <c r="A616" s="161" t="s">
        <v>430</v>
      </c>
      <c r="B616" s="170">
        <v>50</v>
      </c>
      <c r="C616" s="160" t="s">
        <v>8</v>
      </c>
      <c r="D616" s="160" t="s">
        <v>31</v>
      </c>
      <c r="E616" s="162">
        <v>45793</v>
      </c>
    </row>
    <row r="617" spans="1:5" x14ac:dyDescent="0.25">
      <c r="A617" s="163" t="s">
        <v>430</v>
      </c>
      <c r="B617" s="169">
        <v>50</v>
      </c>
      <c r="C617" s="165" t="s">
        <v>8</v>
      </c>
      <c r="D617" s="165" t="s">
        <v>31</v>
      </c>
      <c r="E617" s="164">
        <v>45795</v>
      </c>
    </row>
    <row r="618" spans="1:5" x14ac:dyDescent="0.25">
      <c r="A618" s="161" t="s">
        <v>477</v>
      </c>
      <c r="B618" s="170">
        <v>4.1900000000000004</v>
      </c>
      <c r="C618" s="160" t="s">
        <v>8</v>
      </c>
      <c r="D618" s="160" t="s">
        <v>16</v>
      </c>
      <c r="E618" s="162">
        <v>45795</v>
      </c>
    </row>
    <row r="619" spans="1:5" x14ac:dyDescent="0.25">
      <c r="A619" s="163" t="s">
        <v>13</v>
      </c>
      <c r="B619" s="169">
        <v>89.98</v>
      </c>
      <c r="C619" s="165" t="s">
        <v>8</v>
      </c>
      <c r="D619" s="165" t="s">
        <v>14</v>
      </c>
      <c r="E619" s="164">
        <v>45795</v>
      </c>
    </row>
    <row r="620" spans="1:5" x14ac:dyDescent="0.25">
      <c r="A620" s="161" t="s">
        <v>478</v>
      </c>
      <c r="B620" s="170">
        <v>3.8</v>
      </c>
      <c r="C620" s="160" t="s">
        <v>8</v>
      </c>
      <c r="D620" s="160" t="s">
        <v>11</v>
      </c>
      <c r="E620" s="162">
        <v>45796</v>
      </c>
    </row>
    <row r="621" spans="1:5" x14ac:dyDescent="0.25">
      <c r="A621" s="163" t="s">
        <v>479</v>
      </c>
      <c r="B621" s="169">
        <v>22.98</v>
      </c>
      <c r="C621" s="165" t="s">
        <v>8</v>
      </c>
      <c r="D621" s="165" t="s">
        <v>16</v>
      </c>
      <c r="E621" s="164">
        <v>45793</v>
      </c>
    </row>
    <row r="622" spans="1:5" x14ac:dyDescent="0.25">
      <c r="A622" s="161" t="s">
        <v>376</v>
      </c>
      <c r="B622" s="170">
        <v>102</v>
      </c>
      <c r="C622" s="160" t="s">
        <v>8</v>
      </c>
      <c r="D622" s="160" t="s">
        <v>36</v>
      </c>
      <c r="E622" s="162">
        <v>45793</v>
      </c>
    </row>
    <row r="623" spans="1:5" x14ac:dyDescent="0.25">
      <c r="A623" s="163" t="s">
        <v>480</v>
      </c>
      <c r="B623" s="169">
        <v>126</v>
      </c>
      <c r="C623" s="165" t="s">
        <v>8</v>
      </c>
      <c r="D623" s="165" t="s">
        <v>36</v>
      </c>
      <c r="E623" s="164">
        <v>45793</v>
      </c>
    </row>
    <row r="624" spans="1:5" x14ac:dyDescent="0.25">
      <c r="A624" s="161" t="s">
        <v>481</v>
      </c>
      <c r="B624" s="170">
        <v>54.95</v>
      </c>
      <c r="C624" s="160" t="s">
        <v>8</v>
      </c>
      <c r="D624" s="160" t="s">
        <v>36</v>
      </c>
      <c r="E624" s="162">
        <v>45794</v>
      </c>
    </row>
    <row r="625" spans="1:5" x14ac:dyDescent="0.25">
      <c r="A625" s="163" t="s">
        <v>43</v>
      </c>
      <c r="B625" s="169">
        <v>95.07</v>
      </c>
      <c r="C625" s="165" t="s">
        <v>8</v>
      </c>
      <c r="D625" s="165" t="s">
        <v>31</v>
      </c>
      <c r="E625" s="164">
        <v>45794</v>
      </c>
    </row>
    <row r="626" spans="1:5" x14ac:dyDescent="0.25">
      <c r="A626" s="161" t="s">
        <v>482</v>
      </c>
      <c r="B626" s="170">
        <v>19.899999999999999</v>
      </c>
      <c r="C626" s="160" t="s">
        <v>8</v>
      </c>
      <c r="D626" s="160" t="s">
        <v>20</v>
      </c>
      <c r="E626" s="162">
        <v>45794</v>
      </c>
    </row>
    <row r="627" spans="1:5" x14ac:dyDescent="0.25">
      <c r="A627" s="163" t="s">
        <v>43</v>
      </c>
      <c r="B627" s="169">
        <v>219.64</v>
      </c>
      <c r="C627" s="165" t="s">
        <v>8</v>
      </c>
      <c r="D627" s="165" t="s">
        <v>31</v>
      </c>
      <c r="E627" s="164">
        <v>45796</v>
      </c>
    </row>
    <row r="628" spans="1:5" x14ac:dyDescent="0.25">
      <c r="A628" s="161" t="s">
        <v>483</v>
      </c>
      <c r="B628" s="170">
        <v>245.4</v>
      </c>
      <c r="C628" s="160" t="s">
        <v>8</v>
      </c>
      <c r="D628" s="160" t="s">
        <v>14</v>
      </c>
      <c r="E628" s="162">
        <v>45796</v>
      </c>
    </row>
    <row r="629" spans="1:5" x14ac:dyDescent="0.25">
      <c r="A629" s="163" t="s">
        <v>430</v>
      </c>
      <c r="B629" s="169">
        <v>50</v>
      </c>
      <c r="C629" s="165" t="s">
        <v>8</v>
      </c>
      <c r="D629" s="165" t="s">
        <v>31</v>
      </c>
      <c r="E629" s="164">
        <v>45796</v>
      </c>
    </row>
    <row r="630" spans="1:5" x14ac:dyDescent="0.25">
      <c r="A630" s="160" t="s">
        <v>380</v>
      </c>
      <c r="B630" s="170">
        <v>112.36</v>
      </c>
      <c r="C630" s="160" t="s">
        <v>8</v>
      </c>
      <c r="D630" s="160" t="s">
        <v>68</v>
      </c>
      <c r="E630" s="162">
        <v>45796</v>
      </c>
    </row>
    <row r="631" spans="1:5" x14ac:dyDescent="0.25">
      <c r="A631" s="163" t="s">
        <v>484</v>
      </c>
      <c r="B631" s="169">
        <v>29.7</v>
      </c>
      <c r="C631" s="165" t="s">
        <v>8</v>
      </c>
      <c r="D631" s="165" t="s">
        <v>11</v>
      </c>
      <c r="E631" s="164">
        <v>45797</v>
      </c>
    </row>
    <row r="632" spans="1:5" x14ac:dyDescent="0.25">
      <c r="A632" s="161" t="s">
        <v>411</v>
      </c>
      <c r="B632" s="170">
        <v>20</v>
      </c>
      <c r="C632" s="160" t="s">
        <v>8</v>
      </c>
      <c r="D632" s="160" t="s">
        <v>16</v>
      </c>
      <c r="E632" s="162">
        <v>45797</v>
      </c>
    </row>
    <row r="633" spans="1:5" x14ac:dyDescent="0.25">
      <c r="A633" s="163" t="s">
        <v>485</v>
      </c>
      <c r="B633" s="169">
        <v>148.18</v>
      </c>
      <c r="C633" s="165" t="s">
        <v>8</v>
      </c>
      <c r="D633" s="165" t="s">
        <v>14</v>
      </c>
      <c r="E633" s="164">
        <v>45797</v>
      </c>
    </row>
    <row r="634" spans="1:5" x14ac:dyDescent="0.25">
      <c r="A634" s="161" t="s">
        <v>486</v>
      </c>
      <c r="B634" s="170">
        <v>142.34</v>
      </c>
      <c r="C634" s="160" t="s">
        <v>8</v>
      </c>
      <c r="D634" s="160" t="s">
        <v>14</v>
      </c>
      <c r="E634" s="162">
        <v>45797</v>
      </c>
    </row>
    <row r="635" spans="1:5" x14ac:dyDescent="0.25">
      <c r="A635" s="163" t="s">
        <v>487</v>
      </c>
      <c r="B635" s="169">
        <v>26.8</v>
      </c>
      <c r="C635" s="165" t="s">
        <v>8</v>
      </c>
      <c r="D635" s="165" t="s">
        <v>36</v>
      </c>
      <c r="E635" s="164">
        <v>45797</v>
      </c>
    </row>
    <row r="636" spans="1:5" x14ac:dyDescent="0.25">
      <c r="A636" s="161" t="s">
        <v>15</v>
      </c>
      <c r="B636" s="170">
        <v>120.67</v>
      </c>
      <c r="C636" s="160" t="s">
        <v>8</v>
      </c>
      <c r="D636" s="160" t="s">
        <v>16</v>
      </c>
      <c r="E636" s="162">
        <v>45798</v>
      </c>
    </row>
    <row r="637" spans="1:5" x14ac:dyDescent="0.25">
      <c r="A637" s="163" t="s">
        <v>488</v>
      </c>
      <c r="B637" s="169">
        <v>61.59</v>
      </c>
      <c r="C637" s="165" t="s">
        <v>8</v>
      </c>
      <c r="D637" s="165" t="s">
        <v>14</v>
      </c>
      <c r="E637" s="164">
        <v>45798</v>
      </c>
    </row>
    <row r="638" spans="1:5" x14ac:dyDescent="0.25">
      <c r="A638" s="161" t="s">
        <v>489</v>
      </c>
      <c r="B638" s="170">
        <v>49.9</v>
      </c>
      <c r="C638" s="160" t="s">
        <v>8</v>
      </c>
      <c r="D638" s="160" t="s">
        <v>36</v>
      </c>
      <c r="E638" s="162">
        <v>45799</v>
      </c>
    </row>
    <row r="639" spans="1:5" x14ac:dyDescent="0.25">
      <c r="A639" s="163" t="s">
        <v>487</v>
      </c>
      <c r="B639" s="169">
        <v>46.8</v>
      </c>
      <c r="C639" s="165" t="s">
        <v>8</v>
      </c>
      <c r="D639" s="165" t="s">
        <v>36</v>
      </c>
      <c r="E639" s="164">
        <v>45799</v>
      </c>
    </row>
    <row r="640" spans="1:5" x14ac:dyDescent="0.25">
      <c r="A640" s="161" t="s">
        <v>490</v>
      </c>
      <c r="B640" s="170">
        <v>53.569000000000003</v>
      </c>
      <c r="C640" s="160" t="s">
        <v>8</v>
      </c>
      <c r="D640" s="160" t="s">
        <v>14</v>
      </c>
      <c r="E640" s="162">
        <v>45799</v>
      </c>
    </row>
    <row r="641" spans="1:5" x14ac:dyDescent="0.25">
      <c r="A641" s="163" t="s">
        <v>456</v>
      </c>
      <c r="B641" s="169">
        <v>40.984999999999999</v>
      </c>
      <c r="C641" s="165" t="s">
        <v>8</v>
      </c>
      <c r="D641" s="165" t="s">
        <v>22</v>
      </c>
      <c r="E641" s="164">
        <v>45799</v>
      </c>
    </row>
    <row r="642" spans="1:5" x14ac:dyDescent="0.25">
      <c r="A642" s="161" t="s">
        <v>133</v>
      </c>
      <c r="B642" s="170">
        <v>175.87</v>
      </c>
      <c r="C642" s="160" t="s">
        <v>8</v>
      </c>
      <c r="D642" s="160" t="s">
        <v>16</v>
      </c>
      <c r="E642" s="162">
        <v>45800</v>
      </c>
    </row>
    <row r="643" spans="1:5" x14ac:dyDescent="0.25">
      <c r="A643" s="163" t="s">
        <v>496</v>
      </c>
      <c r="B643" s="169">
        <v>1.9</v>
      </c>
      <c r="C643" s="165" t="s">
        <v>8</v>
      </c>
      <c r="D643" s="165" t="s">
        <v>11</v>
      </c>
      <c r="E643" s="164">
        <v>45800</v>
      </c>
    </row>
    <row r="644" spans="1:5" x14ac:dyDescent="0.25">
      <c r="A644" s="161" t="s">
        <v>494</v>
      </c>
      <c r="B644" s="170">
        <v>284</v>
      </c>
      <c r="C644" s="160" t="s">
        <v>8</v>
      </c>
      <c r="D644" s="160" t="s">
        <v>36</v>
      </c>
      <c r="E644" s="162">
        <v>45801</v>
      </c>
    </row>
    <row r="645" spans="1:5" x14ac:dyDescent="0.25">
      <c r="A645" s="163" t="s">
        <v>495</v>
      </c>
      <c r="B645" s="169">
        <v>68.393333333333331</v>
      </c>
      <c r="C645" s="165" t="s">
        <v>8</v>
      </c>
      <c r="D645" s="165" t="s">
        <v>14</v>
      </c>
      <c r="E645" s="164">
        <v>45801</v>
      </c>
    </row>
    <row r="646" spans="1:5" x14ac:dyDescent="0.25">
      <c r="A646" s="161" t="s">
        <v>411</v>
      </c>
      <c r="B646" s="170">
        <v>20</v>
      </c>
      <c r="C646" s="160" t="s">
        <v>8</v>
      </c>
      <c r="D646" s="160" t="s">
        <v>16</v>
      </c>
      <c r="E646" s="162">
        <v>45801</v>
      </c>
    </row>
    <row r="647" spans="1:5" x14ac:dyDescent="0.25">
      <c r="A647" s="163" t="s">
        <v>378</v>
      </c>
      <c r="B647" s="169">
        <v>16</v>
      </c>
      <c r="C647" s="165" t="s">
        <v>8</v>
      </c>
      <c r="D647" s="165" t="s">
        <v>31</v>
      </c>
      <c r="E647" s="164">
        <v>45803</v>
      </c>
    </row>
    <row r="648" spans="1:5" x14ac:dyDescent="0.25">
      <c r="A648" s="161" t="s">
        <v>497</v>
      </c>
      <c r="B648" s="170">
        <v>40</v>
      </c>
      <c r="C648" s="160" t="s">
        <v>8</v>
      </c>
      <c r="D648" s="160" t="s">
        <v>108</v>
      </c>
      <c r="E648" s="162">
        <v>45803</v>
      </c>
    </row>
    <row r="649" spans="1:5" x14ac:dyDescent="0.25">
      <c r="A649" s="163" t="s">
        <v>133</v>
      </c>
      <c r="B649" s="169">
        <v>7.38</v>
      </c>
      <c r="C649" s="165" t="s">
        <v>8</v>
      </c>
      <c r="D649" s="165" t="s">
        <v>16</v>
      </c>
      <c r="E649" s="164">
        <v>45803</v>
      </c>
    </row>
    <row r="650" spans="1:5" x14ac:dyDescent="0.25">
      <c r="A650" s="161" t="s">
        <v>43</v>
      </c>
      <c r="B650" s="170">
        <v>288.08999999999997</v>
      </c>
      <c r="C650" s="160" t="s">
        <v>8</v>
      </c>
      <c r="D650" s="160" t="s">
        <v>118</v>
      </c>
      <c r="E650" s="162">
        <v>45804</v>
      </c>
    </row>
    <row r="651" spans="1:5" x14ac:dyDescent="0.25">
      <c r="A651" s="163" t="s">
        <v>499</v>
      </c>
      <c r="B651" s="169">
        <v>5</v>
      </c>
      <c r="C651" s="165" t="s">
        <v>8</v>
      </c>
      <c r="D651" s="165" t="s">
        <v>16</v>
      </c>
      <c r="E651" s="164">
        <v>45804</v>
      </c>
    </row>
    <row r="652" spans="1:5" x14ac:dyDescent="0.25">
      <c r="A652" s="161" t="s">
        <v>454</v>
      </c>
      <c r="B652" s="170">
        <v>115.24</v>
      </c>
      <c r="C652" s="160" t="s">
        <v>8</v>
      </c>
      <c r="D652" s="160" t="s">
        <v>22</v>
      </c>
      <c r="E652" s="162">
        <v>45805</v>
      </c>
    </row>
    <row r="653" spans="1:5" x14ac:dyDescent="0.25">
      <c r="A653" s="163" t="s">
        <v>498</v>
      </c>
      <c r="B653" s="169">
        <v>29.99</v>
      </c>
      <c r="C653" s="165" t="s">
        <v>8</v>
      </c>
      <c r="D653" s="165" t="s">
        <v>22</v>
      </c>
      <c r="E653" s="164">
        <v>45805</v>
      </c>
    </row>
    <row r="654" spans="1:5" x14ac:dyDescent="0.25">
      <c r="A654" s="161" t="s">
        <v>500</v>
      </c>
      <c r="B654" s="170">
        <v>73.97</v>
      </c>
      <c r="C654" s="160" t="s">
        <v>8</v>
      </c>
      <c r="D654" s="160" t="s">
        <v>11</v>
      </c>
      <c r="E654" s="162">
        <v>45803</v>
      </c>
    </row>
    <row r="655" spans="1:5" x14ac:dyDescent="0.25">
      <c r="A655" s="163" t="s">
        <v>487</v>
      </c>
      <c r="B655" s="169">
        <v>54.7</v>
      </c>
      <c r="C655" s="165" t="s">
        <v>8</v>
      </c>
      <c r="D655" s="165" t="s">
        <v>36</v>
      </c>
      <c r="E655" s="164">
        <v>45804</v>
      </c>
    </row>
    <row r="656" spans="1:5" x14ac:dyDescent="0.25">
      <c r="A656" s="161" t="s">
        <v>430</v>
      </c>
      <c r="B656" s="170">
        <v>100</v>
      </c>
      <c r="C656" s="160" t="s">
        <v>8</v>
      </c>
      <c r="D656" s="160" t="s">
        <v>118</v>
      </c>
      <c r="E656" s="162">
        <v>45804</v>
      </c>
    </row>
    <row r="657" spans="1:5" x14ac:dyDescent="0.25">
      <c r="A657" s="163" t="s">
        <v>501</v>
      </c>
      <c r="B657" s="169">
        <v>17</v>
      </c>
      <c r="C657" s="165" t="s">
        <v>8</v>
      </c>
      <c r="D657" s="165" t="s">
        <v>20</v>
      </c>
      <c r="E657" s="164">
        <v>45805</v>
      </c>
    </row>
    <row r="658" spans="1:5" x14ac:dyDescent="0.25">
      <c r="A658" s="161" t="s">
        <v>502</v>
      </c>
      <c r="B658" s="170">
        <v>97.79</v>
      </c>
      <c r="C658" s="160" t="s">
        <v>8</v>
      </c>
      <c r="D658" s="160" t="s">
        <v>36</v>
      </c>
      <c r="E658" s="162">
        <v>45805</v>
      </c>
    </row>
    <row r="659" spans="1:5" x14ac:dyDescent="0.25">
      <c r="A659" s="163" t="s">
        <v>503</v>
      </c>
      <c r="B659" s="169">
        <v>199.9</v>
      </c>
      <c r="C659" s="165" t="s">
        <v>8</v>
      </c>
      <c r="D659" s="165" t="s">
        <v>11</v>
      </c>
      <c r="E659" s="164">
        <v>45806</v>
      </c>
    </row>
    <row r="660" spans="1:5" x14ac:dyDescent="0.25">
      <c r="A660" s="161" t="s">
        <v>504</v>
      </c>
      <c r="B660" s="170">
        <v>33.4</v>
      </c>
      <c r="C660" s="160" t="s">
        <v>8</v>
      </c>
      <c r="D660" s="160" t="s">
        <v>36</v>
      </c>
      <c r="E660" s="162">
        <v>45806</v>
      </c>
    </row>
    <row r="661" spans="1:5" x14ac:dyDescent="0.25">
      <c r="A661" s="163" t="s">
        <v>505</v>
      </c>
      <c r="B661" s="169">
        <v>81.599999999999994</v>
      </c>
      <c r="C661" s="165" t="s">
        <v>8</v>
      </c>
      <c r="D661" s="165" t="s">
        <v>11</v>
      </c>
      <c r="E661" s="164">
        <v>45805</v>
      </c>
    </row>
    <row r="662" spans="1:5" x14ac:dyDescent="0.25">
      <c r="A662" s="161" t="s">
        <v>506</v>
      </c>
      <c r="B662" s="170">
        <v>39.012500000000003</v>
      </c>
      <c r="C662" s="160" t="s">
        <v>8</v>
      </c>
      <c r="D662" s="160" t="s">
        <v>22</v>
      </c>
      <c r="E662" s="162">
        <v>45805</v>
      </c>
    </row>
    <row r="663" spans="1:5" x14ac:dyDescent="0.25">
      <c r="A663" s="163" t="s">
        <v>507</v>
      </c>
      <c r="B663" s="169">
        <v>51.23</v>
      </c>
      <c r="C663" s="165" t="s">
        <v>8</v>
      </c>
      <c r="D663" s="165" t="s">
        <v>16</v>
      </c>
      <c r="E663" s="164">
        <v>45806</v>
      </c>
    </row>
    <row r="664" spans="1:5" x14ac:dyDescent="0.25">
      <c r="A664" s="161" t="s">
        <v>510</v>
      </c>
      <c r="B664" s="170">
        <v>18.899999999999999</v>
      </c>
      <c r="C664" s="160" t="s">
        <v>8</v>
      </c>
      <c r="D664" s="160" t="s">
        <v>11</v>
      </c>
      <c r="E664" s="162">
        <v>45808</v>
      </c>
    </row>
    <row r="665" spans="1:5" x14ac:dyDescent="0.25">
      <c r="A665" s="163" t="s">
        <v>511</v>
      </c>
      <c r="B665" s="169">
        <v>42.13</v>
      </c>
      <c r="C665" s="165" t="s">
        <v>8</v>
      </c>
      <c r="D665" s="165" t="s">
        <v>31</v>
      </c>
      <c r="E665" s="164">
        <v>45808</v>
      </c>
    </row>
    <row r="666" spans="1:5" x14ac:dyDescent="0.25">
      <c r="A666" s="161" t="s">
        <v>511</v>
      </c>
      <c r="B666" s="170">
        <v>54.15</v>
      </c>
      <c r="C666" s="160" t="s">
        <v>8</v>
      </c>
      <c r="D666" s="160" t="s">
        <v>31</v>
      </c>
      <c r="E666" s="162">
        <v>45808</v>
      </c>
    </row>
    <row r="667" spans="1:5" x14ac:dyDescent="0.25">
      <c r="A667" s="163" t="s">
        <v>511</v>
      </c>
      <c r="B667" s="169">
        <v>2.2599999999999998</v>
      </c>
      <c r="C667" s="165" t="s">
        <v>8</v>
      </c>
      <c r="D667" s="165" t="s">
        <v>31</v>
      </c>
      <c r="E667" s="164">
        <v>45808</v>
      </c>
    </row>
    <row r="668" spans="1:5" x14ac:dyDescent="0.25">
      <c r="A668" s="161" t="s">
        <v>512</v>
      </c>
      <c r="B668" s="170">
        <v>108.56</v>
      </c>
      <c r="C668" s="160" t="s">
        <v>8</v>
      </c>
      <c r="D668" s="160" t="s">
        <v>36</v>
      </c>
      <c r="E668" s="162">
        <v>45808</v>
      </c>
    </row>
    <row r="669" spans="1:5" x14ac:dyDescent="0.25">
      <c r="A669" s="163" t="s">
        <v>516</v>
      </c>
      <c r="B669" s="169">
        <v>129.11000000000001</v>
      </c>
      <c r="C669" s="165" t="s">
        <v>8</v>
      </c>
      <c r="D669" s="165" t="s">
        <v>517</v>
      </c>
      <c r="E669" s="164">
        <v>45798</v>
      </c>
    </row>
    <row r="670" spans="1:5" x14ac:dyDescent="0.25">
      <c r="A670" s="161" t="s">
        <v>516</v>
      </c>
      <c r="B670" s="170">
        <v>34.11</v>
      </c>
      <c r="C670" s="160" t="s">
        <v>8</v>
      </c>
      <c r="D670" s="160" t="s">
        <v>517</v>
      </c>
      <c r="E670" s="162">
        <v>45798</v>
      </c>
    </row>
    <row r="671" spans="1:5" x14ac:dyDescent="0.25">
      <c r="A671" s="163" t="s">
        <v>518</v>
      </c>
      <c r="B671" s="169">
        <v>133.64000000000001</v>
      </c>
      <c r="C671" s="165" t="s">
        <v>8</v>
      </c>
      <c r="D671" s="165" t="s">
        <v>517</v>
      </c>
      <c r="E671" s="164">
        <v>45798</v>
      </c>
    </row>
    <row r="672" spans="1:5" x14ac:dyDescent="0.25">
      <c r="A672" s="161" t="s">
        <v>518</v>
      </c>
      <c r="B672" s="170">
        <v>74.59</v>
      </c>
      <c r="C672" s="160" t="s">
        <v>8</v>
      </c>
      <c r="D672" s="160" t="s">
        <v>517</v>
      </c>
      <c r="E672" s="162">
        <v>45798</v>
      </c>
    </row>
    <row r="673" spans="1:5" x14ac:dyDescent="0.25">
      <c r="A673" s="163" t="s">
        <v>533</v>
      </c>
      <c r="B673" s="169">
        <v>1000</v>
      </c>
      <c r="C673" s="165" t="s">
        <v>8</v>
      </c>
      <c r="D673" s="165" t="s">
        <v>22</v>
      </c>
      <c r="E673" s="164">
        <v>45808</v>
      </c>
    </row>
    <row r="674" spans="1:5" x14ac:dyDescent="0.25">
      <c r="A674" s="165" t="s">
        <v>60</v>
      </c>
      <c r="B674" s="156">
        <v>119</v>
      </c>
      <c r="C674" s="165" t="s">
        <v>8</v>
      </c>
      <c r="D674" s="165" t="s">
        <v>61</v>
      </c>
      <c r="E674" s="158">
        <v>45811</v>
      </c>
    </row>
    <row r="675" spans="1:5" x14ac:dyDescent="0.25">
      <c r="A675" s="160" t="s">
        <v>62</v>
      </c>
      <c r="B675" s="157">
        <v>400</v>
      </c>
      <c r="C675" s="160" t="s">
        <v>8</v>
      </c>
      <c r="D675" s="160" t="s">
        <v>63</v>
      </c>
      <c r="E675" s="159">
        <v>45811</v>
      </c>
    </row>
    <row r="676" spans="1:5" x14ac:dyDescent="0.25">
      <c r="A676" s="165" t="s">
        <v>64</v>
      </c>
      <c r="B676" s="156">
        <v>289.89999999999998</v>
      </c>
      <c r="C676" s="165" t="s">
        <v>8</v>
      </c>
      <c r="D676" s="165" t="s">
        <v>61</v>
      </c>
      <c r="E676" s="158">
        <v>45813</v>
      </c>
    </row>
    <row r="677" spans="1:5" x14ac:dyDescent="0.25">
      <c r="A677" s="160" t="s">
        <v>69</v>
      </c>
      <c r="B677" s="157">
        <v>5000</v>
      </c>
      <c r="C677" s="160" t="s">
        <v>8</v>
      </c>
      <c r="D677" s="160" t="s">
        <v>70</v>
      </c>
      <c r="E677" s="159">
        <v>45823</v>
      </c>
    </row>
    <row r="678" spans="1:5" x14ac:dyDescent="0.25">
      <c r="A678" s="165" t="s">
        <v>74</v>
      </c>
      <c r="B678" s="156">
        <v>5710.37</v>
      </c>
      <c r="C678" s="165" t="s">
        <v>72</v>
      </c>
      <c r="D678" s="165" t="s">
        <v>73</v>
      </c>
      <c r="E678" s="158">
        <v>45823</v>
      </c>
    </row>
    <row r="679" spans="1:5" x14ac:dyDescent="0.25">
      <c r="A679" s="160" t="s">
        <v>75</v>
      </c>
      <c r="B679" s="157">
        <v>60</v>
      </c>
      <c r="C679" s="160" t="s">
        <v>8</v>
      </c>
      <c r="D679" s="160" t="s">
        <v>63</v>
      </c>
      <c r="E679" s="159">
        <v>45826</v>
      </c>
    </row>
    <row r="680" spans="1:5" x14ac:dyDescent="0.25">
      <c r="A680" s="165" t="s">
        <v>76</v>
      </c>
      <c r="B680" s="156">
        <v>100</v>
      </c>
      <c r="C680" s="165" t="s">
        <v>8</v>
      </c>
      <c r="D680" s="165" t="s">
        <v>63</v>
      </c>
      <c r="E680" s="158">
        <v>45833</v>
      </c>
    </row>
    <row r="681" spans="1:5" x14ac:dyDescent="0.25">
      <c r="A681" s="160" t="s">
        <v>77</v>
      </c>
      <c r="B681" s="157">
        <v>66.900000000000006</v>
      </c>
      <c r="C681" s="160" t="s">
        <v>8</v>
      </c>
      <c r="D681" s="160" t="s">
        <v>20</v>
      </c>
      <c r="E681" s="159">
        <v>45833</v>
      </c>
    </row>
    <row r="682" spans="1:5" x14ac:dyDescent="0.25">
      <c r="A682" s="165" t="s">
        <v>78</v>
      </c>
      <c r="B682" s="156">
        <v>16.899999999999999</v>
      </c>
      <c r="C682" s="165" t="s">
        <v>8</v>
      </c>
      <c r="D682" s="165" t="s">
        <v>20</v>
      </c>
      <c r="E682" s="158">
        <v>45836</v>
      </c>
    </row>
    <row r="683" spans="1:5" x14ac:dyDescent="0.25">
      <c r="A683" s="160" t="s">
        <v>80</v>
      </c>
      <c r="B683" s="157">
        <v>857</v>
      </c>
      <c r="C683" s="160" t="s">
        <v>8</v>
      </c>
      <c r="D683" s="160" t="s">
        <v>68</v>
      </c>
      <c r="E683" s="159">
        <v>45820</v>
      </c>
    </row>
    <row r="684" spans="1:5" x14ac:dyDescent="0.25">
      <c r="A684" s="165" t="s">
        <v>81</v>
      </c>
      <c r="B684" s="156">
        <v>123.71</v>
      </c>
      <c r="C684" s="165" t="s">
        <v>8</v>
      </c>
      <c r="D684" s="165" t="s">
        <v>68</v>
      </c>
      <c r="E684" s="158">
        <v>45838</v>
      </c>
    </row>
    <row r="685" spans="1:5" x14ac:dyDescent="0.25">
      <c r="A685" s="160" t="s">
        <v>411</v>
      </c>
      <c r="B685" s="157">
        <v>113.75</v>
      </c>
      <c r="C685" s="160" t="s">
        <v>8</v>
      </c>
      <c r="D685" s="160" t="s">
        <v>68</v>
      </c>
      <c r="E685" s="159">
        <v>45838</v>
      </c>
    </row>
    <row r="686" spans="1:5" x14ac:dyDescent="0.25">
      <c r="A686" s="165" t="s">
        <v>82</v>
      </c>
      <c r="B686" s="156">
        <v>119.12</v>
      </c>
      <c r="C686" s="165" t="s">
        <v>8</v>
      </c>
      <c r="D686" s="165" t="s">
        <v>68</v>
      </c>
      <c r="E686" s="158">
        <v>45838</v>
      </c>
    </row>
    <row r="687" spans="1:5" x14ac:dyDescent="0.25">
      <c r="A687" s="160" t="s">
        <v>83</v>
      </c>
      <c r="B687" s="157">
        <v>4400</v>
      </c>
      <c r="C687" s="160" t="s">
        <v>72</v>
      </c>
      <c r="D687" s="160" t="s">
        <v>73</v>
      </c>
      <c r="E687" s="159">
        <v>45838</v>
      </c>
    </row>
    <row r="688" spans="1:5" x14ac:dyDescent="0.25">
      <c r="A688" s="165" t="s">
        <v>601</v>
      </c>
      <c r="B688" s="156">
        <v>16071.11</v>
      </c>
      <c r="C688" s="165" t="s">
        <v>72</v>
      </c>
      <c r="D688" s="165" t="s">
        <v>73</v>
      </c>
      <c r="E688" s="158">
        <v>45838</v>
      </c>
    </row>
    <row r="689" spans="1:5" x14ac:dyDescent="0.25">
      <c r="A689" s="154" t="s">
        <v>315</v>
      </c>
      <c r="B689" s="157">
        <f>877.5/12</f>
        <v>73.125</v>
      </c>
      <c r="C689" s="154" t="s">
        <v>8</v>
      </c>
      <c r="D689" s="154" t="s">
        <v>16</v>
      </c>
      <c r="E689" s="159">
        <v>45629</v>
      </c>
    </row>
    <row r="690" spans="1:5" x14ac:dyDescent="0.25">
      <c r="A690" s="165" t="s">
        <v>358</v>
      </c>
      <c r="B690" s="167">
        <v>346.14</v>
      </c>
      <c r="C690" s="152" t="s">
        <v>8</v>
      </c>
      <c r="D690" s="165" t="s">
        <v>108</v>
      </c>
      <c r="E690" s="158">
        <v>45657</v>
      </c>
    </row>
    <row r="691" spans="1:5" x14ac:dyDescent="0.25">
      <c r="A691" s="154" t="s">
        <v>317</v>
      </c>
      <c r="B691" s="157">
        <v>33.36</v>
      </c>
      <c r="C691" s="154" t="s">
        <v>8</v>
      </c>
      <c r="D691" s="154" t="s">
        <v>11</v>
      </c>
      <c r="E691" s="159">
        <v>45639</v>
      </c>
    </row>
    <row r="692" spans="1:5" x14ac:dyDescent="0.25">
      <c r="A692" s="165" t="s">
        <v>359</v>
      </c>
      <c r="B692" s="167">
        <v>27.01</v>
      </c>
      <c r="C692" s="152" t="s">
        <v>8</v>
      </c>
      <c r="D692" s="165" t="s">
        <v>22</v>
      </c>
      <c r="E692" s="158">
        <v>45657</v>
      </c>
    </row>
    <row r="693" spans="1:5" x14ac:dyDescent="0.25">
      <c r="A693" s="160" t="s">
        <v>360</v>
      </c>
      <c r="B693" s="157">
        <v>68.8</v>
      </c>
      <c r="C693" s="160" t="s">
        <v>8</v>
      </c>
      <c r="D693" s="160" t="s">
        <v>22</v>
      </c>
      <c r="E693" s="159">
        <v>45668</v>
      </c>
    </row>
    <row r="694" spans="1:5" x14ac:dyDescent="0.25">
      <c r="A694" s="152" t="s">
        <v>342</v>
      </c>
      <c r="B694" s="156">
        <f>216/6</f>
        <v>36</v>
      </c>
      <c r="C694" s="152" t="s">
        <v>8</v>
      </c>
      <c r="D694" s="152" t="s">
        <v>22</v>
      </c>
      <c r="E694" s="158">
        <v>45680</v>
      </c>
    </row>
    <row r="695" spans="1:5" x14ac:dyDescent="0.25">
      <c r="A695" s="154" t="s">
        <v>319</v>
      </c>
      <c r="B695" s="157">
        <f>598.8/12</f>
        <v>49.9</v>
      </c>
      <c r="C695" s="154" t="s">
        <v>8</v>
      </c>
      <c r="D695" s="154" t="s">
        <v>20</v>
      </c>
      <c r="E695" s="159">
        <v>45681</v>
      </c>
    </row>
    <row r="696" spans="1:5" x14ac:dyDescent="0.25">
      <c r="A696" s="152" t="s">
        <v>361</v>
      </c>
      <c r="B696" s="156">
        <f>197.94/6</f>
        <v>32.99</v>
      </c>
      <c r="C696" s="152" t="s">
        <v>8</v>
      </c>
      <c r="D696" s="152" t="s">
        <v>11</v>
      </c>
      <c r="E696" s="158">
        <v>45683</v>
      </c>
    </row>
    <row r="697" spans="1:5" x14ac:dyDescent="0.25">
      <c r="A697" s="154" t="s">
        <v>346</v>
      </c>
      <c r="B697" s="157">
        <f>(145.67+64.44)/5</f>
        <v>42.021999999999998</v>
      </c>
      <c r="C697" s="154" t="s">
        <v>8</v>
      </c>
      <c r="D697" s="154" t="s">
        <v>14</v>
      </c>
      <c r="E697" s="155">
        <v>45691</v>
      </c>
    </row>
    <row r="698" spans="1:5" x14ac:dyDescent="0.25">
      <c r="A698" s="152" t="s">
        <v>347</v>
      </c>
      <c r="B698" s="156">
        <f>44.54*2/5</f>
        <v>17.815999999999999</v>
      </c>
      <c r="C698" s="152" t="s">
        <v>8</v>
      </c>
      <c r="D698" s="152" t="s">
        <v>22</v>
      </c>
      <c r="E698" s="153">
        <v>45691</v>
      </c>
    </row>
    <row r="699" spans="1:5" x14ac:dyDescent="0.25">
      <c r="A699" s="154" t="s">
        <v>348</v>
      </c>
      <c r="B699" s="157">
        <v>42.66</v>
      </c>
      <c r="C699" s="154" t="s">
        <v>8</v>
      </c>
      <c r="D699" s="154" t="s">
        <v>11</v>
      </c>
      <c r="E699" s="155">
        <v>45698</v>
      </c>
    </row>
    <row r="700" spans="1:5" x14ac:dyDescent="0.25">
      <c r="A700" s="152" t="s">
        <v>349</v>
      </c>
      <c r="B700" s="156">
        <v>11.87</v>
      </c>
      <c r="C700" s="152" t="s">
        <v>8</v>
      </c>
      <c r="D700" s="152" t="s">
        <v>11</v>
      </c>
      <c r="E700" s="153">
        <v>45699</v>
      </c>
    </row>
    <row r="701" spans="1:5" x14ac:dyDescent="0.25">
      <c r="A701" s="154" t="s">
        <v>350</v>
      </c>
      <c r="B701" s="157">
        <f>199/6</f>
        <v>33.166666666666664</v>
      </c>
      <c r="C701" s="154" t="s">
        <v>8</v>
      </c>
      <c r="D701" s="154" t="s">
        <v>114</v>
      </c>
      <c r="E701" s="155">
        <v>45701</v>
      </c>
    </row>
    <row r="702" spans="1:5" x14ac:dyDescent="0.25">
      <c r="A702" s="152" t="s">
        <v>351</v>
      </c>
      <c r="B702" s="156">
        <f>29.4/5</f>
        <v>5.88</v>
      </c>
      <c r="C702" s="152" t="s">
        <v>8</v>
      </c>
      <c r="D702" s="152" t="s">
        <v>11</v>
      </c>
      <c r="E702" s="153">
        <v>45705</v>
      </c>
    </row>
    <row r="703" spans="1:5" x14ac:dyDescent="0.25">
      <c r="A703" s="154" t="s">
        <v>352</v>
      </c>
      <c r="B703" s="157">
        <v>116.33</v>
      </c>
      <c r="C703" s="154" t="s">
        <v>8</v>
      </c>
      <c r="D703" s="154" t="s">
        <v>11</v>
      </c>
      <c r="E703" s="155">
        <v>45710</v>
      </c>
    </row>
    <row r="704" spans="1:5" x14ac:dyDescent="0.25">
      <c r="A704" s="163" t="s">
        <v>282</v>
      </c>
      <c r="B704" s="169">
        <v>39.134999999999998</v>
      </c>
      <c r="C704" s="165" t="s">
        <v>8</v>
      </c>
      <c r="D704" s="165" t="s">
        <v>22</v>
      </c>
      <c r="E704" s="164">
        <v>45718</v>
      </c>
    </row>
    <row r="705" spans="1:5" x14ac:dyDescent="0.25">
      <c r="A705" s="161" t="s">
        <v>284</v>
      </c>
      <c r="B705" s="170">
        <v>173.72499999999999</v>
      </c>
      <c r="C705" s="160" t="s">
        <v>8</v>
      </c>
      <c r="D705" s="160" t="s">
        <v>14</v>
      </c>
      <c r="E705" s="162">
        <v>45719</v>
      </c>
    </row>
    <row r="706" spans="1:5" x14ac:dyDescent="0.25">
      <c r="A706" s="163" t="s">
        <v>287</v>
      </c>
      <c r="B706" s="169">
        <v>57.179999999999993</v>
      </c>
      <c r="C706" s="165" t="s">
        <v>8</v>
      </c>
      <c r="D706" s="165" t="s">
        <v>22</v>
      </c>
      <c r="E706" s="164">
        <v>45719</v>
      </c>
    </row>
    <row r="707" spans="1:5" x14ac:dyDescent="0.25">
      <c r="A707" s="161" t="s">
        <v>288</v>
      </c>
      <c r="B707" s="170">
        <v>51.137500000000003</v>
      </c>
      <c r="C707" s="160" t="s">
        <v>8</v>
      </c>
      <c r="D707" s="160" t="s">
        <v>11</v>
      </c>
      <c r="E707" s="162">
        <v>45719</v>
      </c>
    </row>
    <row r="708" spans="1:5" x14ac:dyDescent="0.25">
      <c r="A708" s="163" t="s">
        <v>290</v>
      </c>
      <c r="B708" s="169">
        <v>52.987499999999997</v>
      </c>
      <c r="C708" s="165" t="s">
        <v>8</v>
      </c>
      <c r="D708" s="165" t="s">
        <v>61</v>
      </c>
      <c r="E708" s="164">
        <v>45721</v>
      </c>
    </row>
    <row r="709" spans="1:5" x14ac:dyDescent="0.25">
      <c r="A709" s="161" t="s">
        <v>384</v>
      </c>
      <c r="B709" s="170">
        <v>27.408333333333331</v>
      </c>
      <c r="C709" s="160" t="s">
        <v>8</v>
      </c>
      <c r="D709" s="160" t="s">
        <v>11</v>
      </c>
      <c r="E709" s="162">
        <v>45731</v>
      </c>
    </row>
    <row r="710" spans="1:5" x14ac:dyDescent="0.25">
      <c r="A710" s="163" t="s">
        <v>385</v>
      </c>
      <c r="B710" s="169">
        <v>27.406666666666666</v>
      </c>
      <c r="C710" s="165" t="s">
        <v>8</v>
      </c>
      <c r="D710" s="165" t="s">
        <v>14</v>
      </c>
      <c r="E710" s="164">
        <v>45731</v>
      </c>
    </row>
    <row r="711" spans="1:5" x14ac:dyDescent="0.25">
      <c r="A711" s="161" t="s">
        <v>391</v>
      </c>
      <c r="B711" s="170">
        <v>36.907499999999999</v>
      </c>
      <c r="C711" s="160" t="s">
        <v>8</v>
      </c>
      <c r="D711" s="160" t="s">
        <v>22</v>
      </c>
      <c r="E711" s="162">
        <v>45734</v>
      </c>
    </row>
    <row r="712" spans="1:5" x14ac:dyDescent="0.25">
      <c r="A712" s="163" t="s">
        <v>392</v>
      </c>
      <c r="B712" s="169">
        <v>133.25</v>
      </c>
      <c r="C712" s="165" t="s">
        <v>8</v>
      </c>
      <c r="D712" s="165" t="s">
        <v>22</v>
      </c>
      <c r="E712" s="164">
        <v>45734</v>
      </c>
    </row>
    <row r="713" spans="1:5" x14ac:dyDescent="0.25">
      <c r="A713" s="161" t="s">
        <v>400</v>
      </c>
      <c r="B713" s="170">
        <v>54.991666666666667</v>
      </c>
      <c r="C713" s="160" t="s">
        <v>8</v>
      </c>
      <c r="D713" s="160" t="s">
        <v>11</v>
      </c>
      <c r="E713" s="162">
        <v>45742</v>
      </c>
    </row>
    <row r="714" spans="1:5" x14ac:dyDescent="0.25">
      <c r="A714" s="163" t="s">
        <v>418</v>
      </c>
      <c r="B714" s="169">
        <v>52.28875</v>
      </c>
      <c r="C714" s="165" t="s">
        <v>8</v>
      </c>
      <c r="D714" s="165" t="s">
        <v>61</v>
      </c>
      <c r="E714" s="164">
        <v>45753</v>
      </c>
    </row>
    <row r="715" spans="1:5" x14ac:dyDescent="0.25">
      <c r="A715" s="161" t="s">
        <v>394</v>
      </c>
      <c r="B715" s="170">
        <v>53.199999999999996</v>
      </c>
      <c r="C715" s="160" t="s">
        <v>8</v>
      </c>
      <c r="D715" s="160" t="s">
        <v>11</v>
      </c>
      <c r="E715" s="162">
        <v>45761</v>
      </c>
    </row>
    <row r="716" spans="1:5" x14ac:dyDescent="0.25">
      <c r="A716" s="163" t="s">
        <v>439</v>
      </c>
      <c r="B716" s="169">
        <v>123.5</v>
      </c>
      <c r="C716" s="165" t="s">
        <v>8</v>
      </c>
      <c r="D716" s="165" t="s">
        <v>11</v>
      </c>
      <c r="E716" s="164">
        <v>45771</v>
      </c>
    </row>
    <row r="717" spans="1:5" x14ac:dyDescent="0.25">
      <c r="A717" s="161" t="s">
        <v>416</v>
      </c>
      <c r="B717" s="170">
        <v>36.199999999999996</v>
      </c>
      <c r="C717" s="160" t="s">
        <v>8</v>
      </c>
      <c r="D717" s="160" t="s">
        <v>11</v>
      </c>
      <c r="E717" s="162">
        <v>45772</v>
      </c>
    </row>
    <row r="718" spans="1:5" x14ac:dyDescent="0.25">
      <c r="A718" s="163" t="s">
        <v>447</v>
      </c>
      <c r="B718" s="169">
        <v>50.949999999999996</v>
      </c>
      <c r="C718" s="165" t="s">
        <v>8</v>
      </c>
      <c r="D718" s="165" t="s">
        <v>14</v>
      </c>
      <c r="E718" s="164">
        <v>45775</v>
      </c>
    </row>
    <row r="719" spans="1:5" x14ac:dyDescent="0.25">
      <c r="A719" s="161" t="s">
        <v>454</v>
      </c>
      <c r="B719" s="170">
        <v>90.24666666666667</v>
      </c>
      <c r="C719" s="160" t="s">
        <v>8</v>
      </c>
      <c r="D719" s="160" t="s">
        <v>14</v>
      </c>
      <c r="E719" s="162">
        <v>45778</v>
      </c>
    </row>
    <row r="720" spans="1:5" x14ac:dyDescent="0.25">
      <c r="A720" s="163" t="s">
        <v>456</v>
      </c>
      <c r="B720" s="169">
        <v>52.06</v>
      </c>
      <c r="C720" s="165" t="s">
        <v>8</v>
      </c>
      <c r="D720" s="165" t="s">
        <v>22</v>
      </c>
      <c r="E720" s="164">
        <v>45780</v>
      </c>
    </row>
    <row r="721" spans="1:5" x14ac:dyDescent="0.25">
      <c r="A721" s="161" t="s">
        <v>457</v>
      </c>
      <c r="B721" s="170">
        <v>39.699999999999996</v>
      </c>
      <c r="C721" s="160" t="s">
        <v>8</v>
      </c>
      <c r="D721" s="160" t="s">
        <v>114</v>
      </c>
      <c r="E721" s="162">
        <v>45780</v>
      </c>
    </row>
    <row r="722" spans="1:5" x14ac:dyDescent="0.25">
      <c r="A722" s="163" t="s">
        <v>471</v>
      </c>
      <c r="B722" s="169">
        <v>122.45</v>
      </c>
      <c r="C722" s="165" t="s">
        <v>8</v>
      </c>
      <c r="D722" s="165" t="s">
        <v>11</v>
      </c>
      <c r="E722" s="164">
        <v>45789</v>
      </c>
    </row>
    <row r="723" spans="1:5" x14ac:dyDescent="0.25">
      <c r="A723" s="161" t="s">
        <v>483</v>
      </c>
      <c r="B723" s="170">
        <v>245.4</v>
      </c>
      <c r="C723" s="160" t="s">
        <v>8</v>
      </c>
      <c r="D723" s="160" t="s">
        <v>14</v>
      </c>
      <c r="E723" s="162">
        <v>45796</v>
      </c>
    </row>
    <row r="724" spans="1:5" x14ac:dyDescent="0.25">
      <c r="A724" s="163" t="s">
        <v>486</v>
      </c>
      <c r="B724" s="169">
        <v>142.34</v>
      </c>
      <c r="C724" s="165" t="s">
        <v>8</v>
      </c>
      <c r="D724" s="165" t="s">
        <v>14</v>
      </c>
      <c r="E724" s="164">
        <v>45797</v>
      </c>
    </row>
    <row r="725" spans="1:5" x14ac:dyDescent="0.25">
      <c r="A725" s="161" t="s">
        <v>516</v>
      </c>
      <c r="B725" s="170">
        <v>129.11000000000001</v>
      </c>
      <c r="C725" s="160" t="s">
        <v>8</v>
      </c>
      <c r="D725" s="160" t="s">
        <v>517</v>
      </c>
      <c r="E725" s="162">
        <v>45798</v>
      </c>
    </row>
    <row r="726" spans="1:5" x14ac:dyDescent="0.25">
      <c r="A726" s="163" t="s">
        <v>518</v>
      </c>
      <c r="B726" s="169">
        <v>133.64000000000001</v>
      </c>
      <c r="C726" s="165" t="s">
        <v>8</v>
      </c>
      <c r="D726" s="165" t="s">
        <v>517</v>
      </c>
      <c r="E726" s="164">
        <v>45798</v>
      </c>
    </row>
    <row r="727" spans="1:5" x14ac:dyDescent="0.25">
      <c r="A727" s="161" t="s">
        <v>490</v>
      </c>
      <c r="B727" s="170">
        <v>53.569000000000003</v>
      </c>
      <c r="C727" s="160" t="s">
        <v>8</v>
      </c>
      <c r="D727" s="160" t="s">
        <v>14</v>
      </c>
      <c r="E727" s="162">
        <v>45799</v>
      </c>
    </row>
    <row r="728" spans="1:5" x14ac:dyDescent="0.25">
      <c r="A728" s="163" t="s">
        <v>456</v>
      </c>
      <c r="B728" s="169">
        <v>40.984999999999999</v>
      </c>
      <c r="C728" s="165" t="s">
        <v>8</v>
      </c>
      <c r="D728" s="165" t="s">
        <v>22</v>
      </c>
      <c r="E728" s="164">
        <v>45799</v>
      </c>
    </row>
    <row r="729" spans="1:5" x14ac:dyDescent="0.25">
      <c r="A729" s="161" t="s">
        <v>495</v>
      </c>
      <c r="B729" s="170">
        <v>68.393333333333331</v>
      </c>
      <c r="C729" s="160" t="s">
        <v>8</v>
      </c>
      <c r="D729" s="160" t="s">
        <v>14</v>
      </c>
      <c r="E729" s="162">
        <v>45801</v>
      </c>
    </row>
    <row r="730" spans="1:5" x14ac:dyDescent="0.25">
      <c r="A730" s="163" t="s">
        <v>505</v>
      </c>
      <c r="B730" s="169">
        <v>81.599999999999994</v>
      </c>
      <c r="C730" s="165" t="s">
        <v>8</v>
      </c>
      <c r="D730" s="165" t="s">
        <v>11</v>
      </c>
      <c r="E730" s="164">
        <v>45805</v>
      </c>
    </row>
    <row r="731" spans="1:5" x14ac:dyDescent="0.25">
      <c r="A731" s="161" t="s">
        <v>506</v>
      </c>
      <c r="B731" s="170">
        <v>39.012500000000003</v>
      </c>
      <c r="C731" s="160" t="s">
        <v>8</v>
      </c>
      <c r="D731" s="160" t="s">
        <v>22</v>
      </c>
      <c r="E731" s="162">
        <v>45805</v>
      </c>
    </row>
    <row r="732" spans="1:5" x14ac:dyDescent="0.25">
      <c r="A732" s="163" t="s">
        <v>508</v>
      </c>
      <c r="B732" s="169">
        <v>354</v>
      </c>
      <c r="C732" s="165" t="s">
        <v>8</v>
      </c>
      <c r="D732" s="165" t="s">
        <v>36</v>
      </c>
      <c r="E732" s="164">
        <v>45809</v>
      </c>
    </row>
    <row r="733" spans="1:5" x14ac:dyDescent="0.25">
      <c r="A733" s="161" t="s">
        <v>509</v>
      </c>
      <c r="B733" s="170">
        <v>294.55</v>
      </c>
      <c r="C733" s="160" t="s">
        <v>8</v>
      </c>
      <c r="D733" s="160" t="s">
        <v>118</v>
      </c>
      <c r="E733" s="162">
        <v>45810</v>
      </c>
    </row>
    <row r="734" spans="1:5" x14ac:dyDescent="0.25">
      <c r="A734" s="163" t="s">
        <v>120</v>
      </c>
      <c r="B734" s="169">
        <v>29.9</v>
      </c>
      <c r="C734" s="165" t="s">
        <v>8</v>
      </c>
      <c r="D734" s="165" t="s">
        <v>31</v>
      </c>
      <c r="E734" s="164">
        <v>45811</v>
      </c>
    </row>
    <row r="735" spans="1:5" x14ac:dyDescent="0.25">
      <c r="A735" s="161" t="s">
        <v>513</v>
      </c>
      <c r="B735" s="170">
        <v>47.5</v>
      </c>
      <c r="C735" s="160" t="s">
        <v>8</v>
      </c>
      <c r="D735" s="160" t="s">
        <v>22</v>
      </c>
      <c r="E735" s="162">
        <v>45810</v>
      </c>
    </row>
    <row r="736" spans="1:5" x14ac:dyDescent="0.25">
      <c r="A736" s="163" t="s">
        <v>514</v>
      </c>
      <c r="B736" s="169">
        <v>31.995999999999999</v>
      </c>
      <c r="C736" s="165" t="s">
        <v>8</v>
      </c>
      <c r="D736" s="165" t="s">
        <v>22</v>
      </c>
      <c r="E736" s="164">
        <v>45811</v>
      </c>
    </row>
    <row r="737" spans="1:5" x14ac:dyDescent="0.25">
      <c r="A737" s="161" t="s">
        <v>180</v>
      </c>
      <c r="B737" s="170">
        <v>107.03</v>
      </c>
      <c r="C737" s="160" t="s">
        <v>8</v>
      </c>
      <c r="D737" s="160" t="s">
        <v>22</v>
      </c>
      <c r="E737" s="162">
        <v>45813</v>
      </c>
    </row>
    <row r="738" spans="1:5" x14ac:dyDescent="0.25">
      <c r="A738" s="163" t="s">
        <v>526</v>
      </c>
      <c r="B738" s="169">
        <v>14.9</v>
      </c>
      <c r="C738" s="165" t="s">
        <v>8</v>
      </c>
      <c r="D738" s="165" t="s">
        <v>11</v>
      </c>
      <c r="E738" s="164">
        <v>45809</v>
      </c>
    </row>
    <row r="739" spans="1:5" x14ac:dyDescent="0.25">
      <c r="A739" s="161" t="s">
        <v>527</v>
      </c>
      <c r="B739" s="170">
        <v>90.27</v>
      </c>
      <c r="C739" s="160" t="s">
        <v>8</v>
      </c>
      <c r="D739" s="160" t="s">
        <v>517</v>
      </c>
      <c r="E739" s="162">
        <v>45810</v>
      </c>
    </row>
    <row r="740" spans="1:5" x14ac:dyDescent="0.25">
      <c r="A740" s="163" t="s">
        <v>527</v>
      </c>
      <c r="B740" s="169">
        <v>133.64000000000001</v>
      </c>
      <c r="C740" s="165" t="s">
        <v>8</v>
      </c>
      <c r="D740" s="165" t="s">
        <v>517</v>
      </c>
      <c r="E740" s="164">
        <v>45810</v>
      </c>
    </row>
    <row r="741" spans="1:5" x14ac:dyDescent="0.25">
      <c r="A741" s="161" t="s">
        <v>528</v>
      </c>
      <c r="B741" s="170">
        <v>26.9</v>
      </c>
      <c r="C741" s="160" t="s">
        <v>8</v>
      </c>
      <c r="D741" s="160" t="s">
        <v>36</v>
      </c>
      <c r="E741" s="162">
        <v>45810</v>
      </c>
    </row>
    <row r="742" spans="1:5" x14ac:dyDescent="0.25">
      <c r="A742" s="163" t="s">
        <v>529</v>
      </c>
      <c r="B742" s="169">
        <v>54.46</v>
      </c>
      <c r="C742" s="165" t="s">
        <v>8</v>
      </c>
      <c r="D742" s="165" t="s">
        <v>14</v>
      </c>
      <c r="E742" s="164">
        <v>45810</v>
      </c>
    </row>
    <row r="743" spans="1:5" x14ac:dyDescent="0.25">
      <c r="A743" s="161" t="s">
        <v>430</v>
      </c>
      <c r="B743" s="170">
        <v>100</v>
      </c>
      <c r="C743" s="160" t="s">
        <v>8</v>
      </c>
      <c r="D743" s="160" t="s">
        <v>517</v>
      </c>
      <c r="E743" s="162">
        <v>45810</v>
      </c>
    </row>
    <row r="744" spans="1:5" x14ac:dyDescent="0.25">
      <c r="A744" s="163" t="s">
        <v>530</v>
      </c>
      <c r="B744" s="169">
        <v>54.03</v>
      </c>
      <c r="C744" s="165" t="s">
        <v>8</v>
      </c>
      <c r="D744" s="165" t="s">
        <v>36</v>
      </c>
      <c r="E744" s="164">
        <v>45811</v>
      </c>
    </row>
    <row r="745" spans="1:5" x14ac:dyDescent="0.25">
      <c r="A745" s="161" t="s">
        <v>531</v>
      </c>
      <c r="B745" s="170">
        <v>12</v>
      </c>
      <c r="C745" s="160" t="s">
        <v>8</v>
      </c>
      <c r="D745" s="160" t="s">
        <v>36</v>
      </c>
      <c r="E745" s="162">
        <v>45811</v>
      </c>
    </row>
    <row r="746" spans="1:5" x14ac:dyDescent="0.25">
      <c r="A746" s="163" t="s">
        <v>427</v>
      </c>
      <c r="B746" s="169">
        <v>30</v>
      </c>
      <c r="C746" s="165" t="s">
        <v>8</v>
      </c>
      <c r="D746" s="165" t="s">
        <v>26</v>
      </c>
      <c r="E746" s="164">
        <v>45811</v>
      </c>
    </row>
    <row r="747" spans="1:5" x14ac:dyDescent="0.25">
      <c r="A747" s="161" t="s">
        <v>532</v>
      </c>
      <c r="B747" s="170">
        <v>20</v>
      </c>
      <c r="C747" s="160" t="s">
        <v>8</v>
      </c>
      <c r="D747" s="160" t="s">
        <v>117</v>
      </c>
      <c r="E747" s="162">
        <v>45810</v>
      </c>
    </row>
    <row r="748" spans="1:5" x14ac:dyDescent="0.25">
      <c r="A748" s="163" t="s">
        <v>532</v>
      </c>
      <c r="B748" s="169">
        <v>20</v>
      </c>
      <c r="C748" s="165" t="s">
        <v>8</v>
      </c>
      <c r="D748" s="165" t="s">
        <v>117</v>
      </c>
      <c r="E748" s="164">
        <v>45812</v>
      </c>
    </row>
    <row r="749" spans="1:5" x14ac:dyDescent="0.25">
      <c r="A749" s="161" t="s">
        <v>534</v>
      </c>
      <c r="B749" s="170">
        <v>76.790000000000006</v>
      </c>
      <c r="C749" s="160" t="s">
        <v>8</v>
      </c>
      <c r="D749" s="160" t="s">
        <v>36</v>
      </c>
      <c r="E749" s="162">
        <v>45813</v>
      </c>
    </row>
    <row r="750" spans="1:5" x14ac:dyDescent="0.25">
      <c r="A750" s="163" t="s">
        <v>535</v>
      </c>
      <c r="B750" s="169">
        <v>26</v>
      </c>
      <c r="C750" s="165" t="s">
        <v>8</v>
      </c>
      <c r="D750" s="165" t="s">
        <v>11</v>
      </c>
      <c r="E750" s="164">
        <v>45816</v>
      </c>
    </row>
    <row r="751" spans="1:5" x14ac:dyDescent="0.25">
      <c r="A751" s="161" t="s">
        <v>13</v>
      </c>
      <c r="B751" s="170">
        <v>51.963333333333331</v>
      </c>
      <c r="C751" s="160" t="s">
        <v>8</v>
      </c>
      <c r="D751" s="160" t="s">
        <v>11</v>
      </c>
      <c r="E751" s="162">
        <v>45816</v>
      </c>
    </row>
    <row r="752" spans="1:5" x14ac:dyDescent="0.25">
      <c r="A752" s="163" t="s">
        <v>536</v>
      </c>
      <c r="B752" s="169">
        <v>9.98</v>
      </c>
      <c r="C752" s="165" t="s">
        <v>8</v>
      </c>
      <c r="D752" s="165" t="s">
        <v>16</v>
      </c>
      <c r="E752" s="164">
        <v>45814</v>
      </c>
    </row>
    <row r="753" spans="1:5" x14ac:dyDescent="0.25">
      <c r="A753" s="161" t="s">
        <v>537</v>
      </c>
      <c r="B753" s="170">
        <v>59.5</v>
      </c>
      <c r="C753" s="160" t="s">
        <v>8</v>
      </c>
      <c r="D753" s="160" t="s">
        <v>114</v>
      </c>
      <c r="E753" s="162">
        <v>45814</v>
      </c>
    </row>
    <row r="754" spans="1:5" x14ac:dyDescent="0.25">
      <c r="A754" s="163" t="s">
        <v>538</v>
      </c>
      <c r="B754" s="169">
        <v>28.07</v>
      </c>
      <c r="C754" s="165" t="s">
        <v>8</v>
      </c>
      <c r="D754" s="165" t="s">
        <v>117</v>
      </c>
      <c r="E754" s="164">
        <v>45814</v>
      </c>
    </row>
    <row r="755" spans="1:5" x14ac:dyDescent="0.25">
      <c r="A755" s="161" t="s">
        <v>539</v>
      </c>
      <c r="B755" s="170">
        <v>26.333333333333332</v>
      </c>
      <c r="C755" s="160" t="s">
        <v>8</v>
      </c>
      <c r="D755" s="160" t="s">
        <v>11</v>
      </c>
      <c r="E755" s="162">
        <v>45814</v>
      </c>
    </row>
    <row r="756" spans="1:5" x14ac:dyDescent="0.25">
      <c r="A756" s="163" t="s">
        <v>540</v>
      </c>
      <c r="B756" s="169">
        <v>110.99666666666667</v>
      </c>
      <c r="C756" s="165" t="s">
        <v>8</v>
      </c>
      <c r="D756" s="165" t="s">
        <v>517</v>
      </c>
      <c r="E756" s="164">
        <v>45815</v>
      </c>
    </row>
    <row r="757" spans="1:5" x14ac:dyDescent="0.25">
      <c r="A757" s="161" t="s">
        <v>540</v>
      </c>
      <c r="B757" s="170">
        <v>37.013333333333335</v>
      </c>
      <c r="C757" s="160" t="s">
        <v>8</v>
      </c>
      <c r="D757" s="160" t="s">
        <v>517</v>
      </c>
      <c r="E757" s="162">
        <v>45815</v>
      </c>
    </row>
    <row r="758" spans="1:5" x14ac:dyDescent="0.25">
      <c r="A758" s="163" t="s">
        <v>541</v>
      </c>
      <c r="B758" s="169">
        <v>286.39</v>
      </c>
      <c r="C758" s="165" t="s">
        <v>8</v>
      </c>
      <c r="D758" s="165" t="s">
        <v>36</v>
      </c>
      <c r="E758" s="164">
        <v>45815</v>
      </c>
    </row>
    <row r="759" spans="1:5" x14ac:dyDescent="0.25">
      <c r="A759" s="161" t="s">
        <v>542</v>
      </c>
      <c r="B759" s="170">
        <v>47.49</v>
      </c>
      <c r="C759" s="160" t="s">
        <v>8</v>
      </c>
      <c r="D759" s="160" t="s">
        <v>11</v>
      </c>
      <c r="E759" s="162">
        <v>45815</v>
      </c>
    </row>
    <row r="760" spans="1:5" x14ac:dyDescent="0.25">
      <c r="A760" s="163" t="s">
        <v>543</v>
      </c>
      <c r="B760" s="169">
        <v>23.495000000000001</v>
      </c>
      <c r="C760" s="165" t="s">
        <v>8</v>
      </c>
      <c r="D760" s="165" t="s">
        <v>22</v>
      </c>
      <c r="E760" s="164">
        <v>45815</v>
      </c>
    </row>
    <row r="761" spans="1:5" x14ac:dyDescent="0.25">
      <c r="A761" s="161" t="s">
        <v>417</v>
      </c>
      <c r="B761" s="170">
        <v>82.03</v>
      </c>
      <c r="C761" s="160" t="s">
        <v>8</v>
      </c>
      <c r="D761" s="160" t="s">
        <v>61</v>
      </c>
      <c r="E761" s="162">
        <v>45816</v>
      </c>
    </row>
    <row r="762" spans="1:5" x14ac:dyDescent="0.25">
      <c r="A762" s="163" t="s">
        <v>544</v>
      </c>
      <c r="B762" s="169">
        <v>77.12</v>
      </c>
      <c r="C762" s="165" t="s">
        <v>8</v>
      </c>
      <c r="D762" s="165" t="s">
        <v>114</v>
      </c>
      <c r="E762" s="164">
        <v>45816</v>
      </c>
    </row>
    <row r="763" spans="1:5" x14ac:dyDescent="0.25">
      <c r="A763" s="161" t="s">
        <v>545</v>
      </c>
      <c r="B763" s="170">
        <v>119.77</v>
      </c>
      <c r="C763" s="160" t="s">
        <v>8</v>
      </c>
      <c r="D763" s="160" t="s">
        <v>114</v>
      </c>
      <c r="E763" s="162">
        <v>45816</v>
      </c>
    </row>
    <row r="764" spans="1:5" x14ac:dyDescent="0.25">
      <c r="A764" s="165" t="s">
        <v>546</v>
      </c>
      <c r="B764" s="169">
        <v>158.30000000000001</v>
      </c>
      <c r="C764" s="165" t="s">
        <v>8</v>
      </c>
      <c r="D764" s="165" t="s">
        <v>63</v>
      </c>
      <c r="E764" s="164">
        <v>45817</v>
      </c>
    </row>
    <row r="765" spans="1:5" x14ac:dyDescent="0.25">
      <c r="A765" s="161" t="s">
        <v>547</v>
      </c>
      <c r="B765" s="170">
        <v>6.2</v>
      </c>
      <c r="C765" s="160" t="s">
        <v>8</v>
      </c>
      <c r="D765" s="160" t="s">
        <v>114</v>
      </c>
      <c r="E765" s="162">
        <v>45817</v>
      </c>
    </row>
    <row r="766" spans="1:5" x14ac:dyDescent="0.25">
      <c r="A766" s="163" t="s">
        <v>548</v>
      </c>
      <c r="B766" s="169">
        <v>31.6</v>
      </c>
      <c r="C766" s="165" t="s">
        <v>8</v>
      </c>
      <c r="D766" s="165" t="s">
        <v>31</v>
      </c>
      <c r="E766" s="164">
        <v>45817</v>
      </c>
    </row>
    <row r="767" spans="1:5" x14ac:dyDescent="0.25">
      <c r="A767" s="161" t="s">
        <v>13</v>
      </c>
      <c r="B767" s="170">
        <v>62.6</v>
      </c>
      <c r="C767" s="160" t="s">
        <v>8</v>
      </c>
      <c r="D767" s="160" t="s">
        <v>16</v>
      </c>
      <c r="E767" s="162">
        <v>45818</v>
      </c>
    </row>
    <row r="768" spans="1:5" x14ac:dyDescent="0.25">
      <c r="A768" s="163" t="s">
        <v>468</v>
      </c>
      <c r="B768" s="169">
        <v>5.95</v>
      </c>
      <c r="C768" s="165" t="s">
        <v>8</v>
      </c>
      <c r="D768" s="165" t="s">
        <v>36</v>
      </c>
      <c r="E768" s="164">
        <v>45818</v>
      </c>
    </row>
    <row r="769" spans="1:5" x14ac:dyDescent="0.25">
      <c r="A769" s="161" t="s">
        <v>120</v>
      </c>
      <c r="B769" s="170">
        <v>8.9</v>
      </c>
      <c r="C769" s="160" t="s">
        <v>8</v>
      </c>
      <c r="D769" s="160" t="s">
        <v>31</v>
      </c>
      <c r="E769" s="162">
        <v>45818</v>
      </c>
    </row>
    <row r="770" spans="1:5" x14ac:dyDescent="0.25">
      <c r="A770" s="163" t="s">
        <v>120</v>
      </c>
      <c r="B770" s="169">
        <v>11.8</v>
      </c>
      <c r="C770" s="165" t="s">
        <v>8</v>
      </c>
      <c r="D770" s="165" t="s">
        <v>31</v>
      </c>
      <c r="E770" s="164">
        <v>45819</v>
      </c>
    </row>
    <row r="771" spans="1:5" x14ac:dyDescent="0.25">
      <c r="A771" s="161" t="s">
        <v>120</v>
      </c>
      <c r="B771" s="170">
        <v>13.3</v>
      </c>
      <c r="C771" s="160" t="s">
        <v>8</v>
      </c>
      <c r="D771" s="160" t="s">
        <v>31</v>
      </c>
      <c r="E771" s="162">
        <v>45819</v>
      </c>
    </row>
    <row r="772" spans="1:5" x14ac:dyDescent="0.25">
      <c r="A772" s="163" t="s">
        <v>43</v>
      </c>
      <c r="B772" s="169">
        <v>59.8</v>
      </c>
      <c r="C772" s="165" t="s">
        <v>8</v>
      </c>
      <c r="D772" s="165" t="s">
        <v>31</v>
      </c>
      <c r="E772" s="164">
        <v>45819</v>
      </c>
    </row>
    <row r="773" spans="1:5" x14ac:dyDescent="0.25">
      <c r="A773" s="161" t="s">
        <v>380</v>
      </c>
      <c r="B773" s="170">
        <v>105.55</v>
      </c>
      <c r="C773" s="160" t="s">
        <v>8</v>
      </c>
      <c r="D773" s="160" t="s">
        <v>68</v>
      </c>
      <c r="E773" s="162">
        <v>45819</v>
      </c>
    </row>
    <row r="774" spans="1:5" x14ac:dyDescent="0.25">
      <c r="A774" s="163" t="s">
        <v>556</v>
      </c>
      <c r="B774" s="169">
        <v>11.76</v>
      </c>
      <c r="C774" s="165" t="s">
        <v>8</v>
      </c>
      <c r="D774" s="165" t="s">
        <v>114</v>
      </c>
      <c r="E774" s="164">
        <v>45820</v>
      </c>
    </row>
    <row r="775" spans="1:5" x14ac:dyDescent="0.25">
      <c r="A775" s="161" t="s">
        <v>557</v>
      </c>
      <c r="B775" s="170">
        <v>86.79</v>
      </c>
      <c r="C775" s="160" t="s">
        <v>8</v>
      </c>
      <c r="D775" s="160" t="s">
        <v>36</v>
      </c>
      <c r="E775" s="162">
        <v>45820</v>
      </c>
    </row>
    <row r="776" spans="1:5" x14ac:dyDescent="0.25">
      <c r="A776" s="163" t="s">
        <v>120</v>
      </c>
      <c r="B776" s="169">
        <v>35.28</v>
      </c>
      <c r="C776" s="165" t="s">
        <v>8</v>
      </c>
      <c r="D776" s="165" t="s">
        <v>31</v>
      </c>
      <c r="E776" s="164">
        <v>45820</v>
      </c>
    </row>
    <row r="777" spans="1:5" x14ac:dyDescent="0.25">
      <c r="A777" s="161" t="s">
        <v>549</v>
      </c>
      <c r="B777" s="170">
        <v>84.9</v>
      </c>
      <c r="C777" s="160" t="s">
        <v>8</v>
      </c>
      <c r="D777" s="160" t="s">
        <v>11</v>
      </c>
      <c r="E777" s="162">
        <v>45820</v>
      </c>
    </row>
    <row r="778" spans="1:5" x14ac:dyDescent="0.25">
      <c r="A778" s="163" t="s">
        <v>550</v>
      </c>
      <c r="B778" s="169">
        <v>9.5</v>
      </c>
      <c r="C778" s="165" t="s">
        <v>8</v>
      </c>
      <c r="D778" s="165" t="s">
        <v>36</v>
      </c>
      <c r="E778" s="164">
        <v>45820</v>
      </c>
    </row>
    <row r="779" spans="1:5" x14ac:dyDescent="0.25">
      <c r="A779" s="161" t="s">
        <v>163</v>
      </c>
      <c r="B779" s="170">
        <v>69.900000000000006</v>
      </c>
      <c r="C779" s="160" t="s">
        <v>8</v>
      </c>
      <c r="D779" s="160" t="s">
        <v>22</v>
      </c>
      <c r="E779" s="162">
        <v>45821</v>
      </c>
    </row>
    <row r="780" spans="1:5" x14ac:dyDescent="0.25">
      <c r="A780" s="163" t="s">
        <v>558</v>
      </c>
      <c r="B780" s="169">
        <v>26</v>
      </c>
      <c r="C780" s="165" t="s">
        <v>8</v>
      </c>
      <c r="D780" s="165" t="s">
        <v>31</v>
      </c>
      <c r="E780" s="164">
        <v>45821</v>
      </c>
    </row>
    <row r="781" spans="1:5" x14ac:dyDescent="0.25">
      <c r="A781" s="161" t="s">
        <v>559</v>
      </c>
      <c r="B781" s="170">
        <v>25.95</v>
      </c>
      <c r="C781" s="160" t="s">
        <v>8</v>
      </c>
      <c r="D781" s="160" t="s">
        <v>31</v>
      </c>
      <c r="E781" s="162">
        <v>45821</v>
      </c>
    </row>
    <row r="782" spans="1:5" x14ac:dyDescent="0.25">
      <c r="A782" s="163" t="s">
        <v>560</v>
      </c>
      <c r="B782" s="169">
        <v>10</v>
      </c>
      <c r="C782" s="165" t="s">
        <v>8</v>
      </c>
      <c r="D782" s="165" t="s">
        <v>36</v>
      </c>
      <c r="E782" s="164">
        <v>45821</v>
      </c>
    </row>
    <row r="783" spans="1:5" x14ac:dyDescent="0.25">
      <c r="A783" s="161" t="s">
        <v>561</v>
      </c>
      <c r="B783" s="170">
        <v>12.5</v>
      </c>
      <c r="C783" s="160" t="s">
        <v>8</v>
      </c>
      <c r="D783" s="160" t="s">
        <v>36</v>
      </c>
      <c r="E783" s="162">
        <v>45821</v>
      </c>
    </row>
    <row r="784" spans="1:5" x14ac:dyDescent="0.25">
      <c r="A784" s="163" t="s">
        <v>562</v>
      </c>
      <c r="B784" s="169">
        <v>26.9</v>
      </c>
      <c r="C784" s="165" t="s">
        <v>8</v>
      </c>
      <c r="D784" s="165" t="s">
        <v>20</v>
      </c>
      <c r="E784" s="164">
        <v>45822</v>
      </c>
    </row>
    <row r="785" spans="1:5" x14ac:dyDescent="0.25">
      <c r="A785" s="161" t="s">
        <v>551</v>
      </c>
      <c r="B785" s="170">
        <v>300</v>
      </c>
      <c r="C785" s="160" t="s">
        <v>8</v>
      </c>
      <c r="D785" s="160" t="s">
        <v>11</v>
      </c>
      <c r="E785" s="162">
        <v>45822</v>
      </c>
    </row>
    <row r="786" spans="1:5" x14ac:dyDescent="0.25">
      <c r="A786" s="163" t="s">
        <v>552</v>
      </c>
      <c r="B786" s="169">
        <v>30</v>
      </c>
      <c r="C786" s="165" t="s">
        <v>8</v>
      </c>
      <c r="D786" s="165" t="s">
        <v>26</v>
      </c>
      <c r="E786" s="164">
        <v>45822</v>
      </c>
    </row>
    <row r="787" spans="1:5" x14ac:dyDescent="0.25">
      <c r="A787" s="161" t="s">
        <v>553</v>
      </c>
      <c r="B787" s="170">
        <v>124.9</v>
      </c>
      <c r="C787" s="160" t="s">
        <v>8</v>
      </c>
      <c r="D787" s="160" t="s">
        <v>11</v>
      </c>
      <c r="E787" s="162">
        <v>45822</v>
      </c>
    </row>
    <row r="788" spans="1:5" x14ac:dyDescent="0.25">
      <c r="A788" s="163" t="s">
        <v>468</v>
      </c>
      <c r="B788" s="169">
        <v>5.95</v>
      </c>
      <c r="C788" s="165" t="s">
        <v>8</v>
      </c>
      <c r="D788" s="165" t="s">
        <v>36</v>
      </c>
      <c r="E788" s="164">
        <v>45823</v>
      </c>
    </row>
    <row r="789" spans="1:5" x14ac:dyDescent="0.25">
      <c r="A789" s="161" t="s">
        <v>554</v>
      </c>
      <c r="B789" s="170">
        <v>138.91499999999999</v>
      </c>
      <c r="C789" s="160" t="s">
        <v>8</v>
      </c>
      <c r="D789" s="160" t="s">
        <v>517</v>
      </c>
      <c r="E789" s="162">
        <v>45823</v>
      </c>
    </row>
    <row r="790" spans="1:5" x14ac:dyDescent="0.25">
      <c r="A790" s="163" t="s">
        <v>555</v>
      </c>
      <c r="B790" s="169">
        <v>151.80333333333334</v>
      </c>
      <c r="C790" s="165" t="s">
        <v>8</v>
      </c>
      <c r="D790" s="165" t="s">
        <v>517</v>
      </c>
      <c r="E790" s="164">
        <v>45823</v>
      </c>
    </row>
    <row r="791" spans="1:5" x14ac:dyDescent="0.25">
      <c r="A791" s="161" t="s">
        <v>459</v>
      </c>
      <c r="B791" s="170">
        <v>22</v>
      </c>
      <c r="C791" s="160" t="s">
        <v>8</v>
      </c>
      <c r="D791" s="160" t="s">
        <v>36</v>
      </c>
      <c r="E791" s="162">
        <v>45823</v>
      </c>
    </row>
    <row r="792" spans="1:5" x14ac:dyDescent="0.25">
      <c r="A792" s="163" t="s">
        <v>563</v>
      </c>
      <c r="B792" s="169">
        <v>84.286666666666676</v>
      </c>
      <c r="C792" s="165" t="s">
        <v>8</v>
      </c>
      <c r="D792" s="165" t="s">
        <v>22</v>
      </c>
      <c r="E792" s="164">
        <v>45823</v>
      </c>
    </row>
    <row r="793" spans="1:5" x14ac:dyDescent="0.25">
      <c r="A793" s="161" t="s">
        <v>120</v>
      </c>
      <c r="B793" s="170">
        <v>30.09</v>
      </c>
      <c r="C793" s="160" t="s">
        <v>8</v>
      </c>
      <c r="D793" s="160" t="s">
        <v>31</v>
      </c>
      <c r="E793" s="162">
        <v>45824</v>
      </c>
    </row>
    <row r="794" spans="1:5" x14ac:dyDescent="0.25">
      <c r="A794" s="163" t="s">
        <v>120</v>
      </c>
      <c r="B794" s="169">
        <v>23.59</v>
      </c>
      <c r="C794" s="165" t="s">
        <v>8</v>
      </c>
      <c r="D794" s="165" t="s">
        <v>31</v>
      </c>
      <c r="E794" s="164">
        <v>45824</v>
      </c>
    </row>
    <row r="795" spans="1:5" x14ac:dyDescent="0.25">
      <c r="A795" s="161" t="s">
        <v>564</v>
      </c>
      <c r="B795" s="170">
        <v>11.417142857142858</v>
      </c>
      <c r="C795" s="160" t="s">
        <v>8</v>
      </c>
      <c r="D795" s="160" t="s">
        <v>11</v>
      </c>
      <c r="E795" s="162">
        <v>45824</v>
      </c>
    </row>
    <row r="796" spans="1:5" x14ac:dyDescent="0.25">
      <c r="A796" s="163" t="s">
        <v>565</v>
      </c>
      <c r="B796" s="169">
        <v>34</v>
      </c>
      <c r="C796" s="165" t="s">
        <v>8</v>
      </c>
      <c r="D796" s="165" t="s">
        <v>36</v>
      </c>
      <c r="E796" s="164">
        <v>45824</v>
      </c>
    </row>
    <row r="797" spans="1:5" x14ac:dyDescent="0.25">
      <c r="A797" s="161" t="s">
        <v>576</v>
      </c>
      <c r="B797" s="170">
        <v>6.7</v>
      </c>
      <c r="C797" s="160" t="s">
        <v>8</v>
      </c>
      <c r="D797" s="160" t="s">
        <v>14</v>
      </c>
      <c r="E797" s="162">
        <v>45824</v>
      </c>
    </row>
    <row r="798" spans="1:5" x14ac:dyDescent="0.25">
      <c r="A798" s="163" t="s">
        <v>43</v>
      </c>
      <c r="B798" s="169">
        <v>259.81</v>
      </c>
      <c r="C798" s="165" t="s">
        <v>8</v>
      </c>
      <c r="D798" s="165" t="s">
        <v>118</v>
      </c>
      <c r="E798" s="164">
        <v>45825</v>
      </c>
    </row>
    <row r="799" spans="1:5" x14ac:dyDescent="0.25">
      <c r="A799" s="161" t="s">
        <v>566</v>
      </c>
      <c r="B799" s="170">
        <v>68.373333333333335</v>
      </c>
      <c r="C799" s="160" t="s">
        <v>8</v>
      </c>
      <c r="D799" s="160" t="s">
        <v>517</v>
      </c>
      <c r="E799" s="162">
        <v>45825</v>
      </c>
    </row>
    <row r="800" spans="1:5" x14ac:dyDescent="0.25">
      <c r="A800" s="163" t="s">
        <v>567</v>
      </c>
      <c r="B800" s="169">
        <v>98.1</v>
      </c>
      <c r="C800" s="165" t="s">
        <v>8</v>
      </c>
      <c r="D800" s="165" t="s">
        <v>14</v>
      </c>
      <c r="E800" s="164">
        <v>45825</v>
      </c>
    </row>
    <row r="801" spans="1:5" x14ac:dyDescent="0.25">
      <c r="A801" s="161" t="s">
        <v>568</v>
      </c>
      <c r="B801" s="170">
        <v>69.7</v>
      </c>
      <c r="C801" s="160" t="s">
        <v>8</v>
      </c>
      <c r="D801" s="160" t="s">
        <v>36</v>
      </c>
      <c r="E801" s="162">
        <v>45825</v>
      </c>
    </row>
    <row r="802" spans="1:5" x14ac:dyDescent="0.25">
      <c r="A802" s="163" t="s">
        <v>43</v>
      </c>
      <c r="B802" s="169">
        <v>286.02999999999997</v>
      </c>
      <c r="C802" s="165" t="s">
        <v>8</v>
      </c>
      <c r="D802" s="165" t="s">
        <v>118</v>
      </c>
      <c r="E802" s="164">
        <v>45825</v>
      </c>
    </row>
    <row r="803" spans="1:5" x14ac:dyDescent="0.25">
      <c r="A803" s="161" t="s">
        <v>430</v>
      </c>
      <c r="B803" s="170">
        <v>50</v>
      </c>
      <c r="C803" s="160" t="s">
        <v>8</v>
      </c>
      <c r="D803" s="160" t="s">
        <v>118</v>
      </c>
      <c r="E803" s="162">
        <v>45825</v>
      </c>
    </row>
    <row r="804" spans="1:5" x14ac:dyDescent="0.25">
      <c r="A804" s="163" t="s">
        <v>577</v>
      </c>
      <c r="B804" s="169">
        <v>48</v>
      </c>
      <c r="C804" s="165" t="s">
        <v>8</v>
      </c>
      <c r="D804" s="165" t="s">
        <v>36</v>
      </c>
      <c r="E804" s="164">
        <v>45825</v>
      </c>
    </row>
    <row r="805" spans="1:5" x14ac:dyDescent="0.25">
      <c r="A805" s="161" t="s">
        <v>578</v>
      </c>
      <c r="B805" s="170">
        <v>273.45999999999998</v>
      </c>
      <c r="C805" s="160" t="s">
        <v>8</v>
      </c>
      <c r="D805" s="160" t="s">
        <v>517</v>
      </c>
      <c r="E805" s="162">
        <v>45825</v>
      </c>
    </row>
    <row r="806" spans="1:5" x14ac:dyDescent="0.25">
      <c r="A806" s="163" t="s">
        <v>569</v>
      </c>
      <c r="B806" s="169">
        <v>20.663333333333334</v>
      </c>
      <c r="C806" s="165" t="s">
        <v>8</v>
      </c>
      <c r="D806" s="165" t="s">
        <v>22</v>
      </c>
      <c r="E806" s="164">
        <v>45827</v>
      </c>
    </row>
    <row r="807" spans="1:5" x14ac:dyDescent="0.25">
      <c r="A807" s="161" t="s">
        <v>570</v>
      </c>
      <c r="B807" s="170">
        <v>238.87</v>
      </c>
      <c r="C807" s="160" t="s">
        <v>8</v>
      </c>
      <c r="D807" s="160" t="s">
        <v>517</v>
      </c>
      <c r="E807" s="162">
        <v>45827</v>
      </c>
    </row>
    <row r="808" spans="1:5" x14ac:dyDescent="0.25">
      <c r="A808" s="163" t="s">
        <v>571</v>
      </c>
      <c r="B808" s="169">
        <v>79.900000000000006</v>
      </c>
      <c r="C808" s="165" t="s">
        <v>8</v>
      </c>
      <c r="D808" s="165" t="s">
        <v>22</v>
      </c>
      <c r="E808" s="164">
        <v>45829</v>
      </c>
    </row>
    <row r="809" spans="1:5" x14ac:dyDescent="0.25">
      <c r="A809" s="161" t="s">
        <v>575</v>
      </c>
      <c r="B809" s="170">
        <v>70</v>
      </c>
      <c r="C809" s="160" t="s">
        <v>8</v>
      </c>
      <c r="D809" s="160" t="s">
        <v>14</v>
      </c>
      <c r="E809" s="162">
        <v>45829</v>
      </c>
    </row>
    <row r="810" spans="1:5" x14ac:dyDescent="0.25">
      <c r="A810" s="163" t="s">
        <v>552</v>
      </c>
      <c r="B810" s="169">
        <v>40</v>
      </c>
      <c r="C810" s="165" t="s">
        <v>8</v>
      </c>
      <c r="D810" s="165" t="s">
        <v>26</v>
      </c>
      <c r="E810" s="164">
        <v>45829</v>
      </c>
    </row>
    <row r="811" spans="1:5" x14ac:dyDescent="0.25">
      <c r="A811" s="161" t="s">
        <v>579</v>
      </c>
      <c r="B811" s="170">
        <v>40</v>
      </c>
      <c r="C811" s="160" t="s">
        <v>8</v>
      </c>
      <c r="D811" s="160" t="s">
        <v>36</v>
      </c>
      <c r="E811" s="162">
        <v>45829</v>
      </c>
    </row>
    <row r="812" spans="1:5" x14ac:dyDescent="0.25">
      <c r="A812" s="163" t="s">
        <v>43</v>
      </c>
      <c r="B812" s="169">
        <v>67.73</v>
      </c>
      <c r="C812" s="165" t="s">
        <v>8</v>
      </c>
      <c r="D812" s="165" t="s">
        <v>118</v>
      </c>
      <c r="E812" s="164">
        <v>45830</v>
      </c>
    </row>
    <row r="813" spans="1:5" x14ac:dyDescent="0.25">
      <c r="A813" s="161" t="s">
        <v>561</v>
      </c>
      <c r="B813" s="170">
        <v>23</v>
      </c>
      <c r="C813" s="160" t="s">
        <v>8</v>
      </c>
      <c r="D813" s="160" t="s">
        <v>36</v>
      </c>
      <c r="E813" s="162">
        <v>45830</v>
      </c>
    </row>
    <row r="814" spans="1:5" x14ac:dyDescent="0.25">
      <c r="A814" s="163" t="s">
        <v>430</v>
      </c>
      <c r="B814" s="169">
        <v>100</v>
      </c>
      <c r="C814" s="165" t="s">
        <v>8</v>
      </c>
      <c r="D814" s="165" t="s">
        <v>118</v>
      </c>
      <c r="E814" s="164">
        <v>45830</v>
      </c>
    </row>
    <row r="815" spans="1:5" x14ac:dyDescent="0.25">
      <c r="A815" s="161" t="s">
        <v>580</v>
      </c>
      <c r="B815" s="170">
        <v>35</v>
      </c>
      <c r="C815" s="160" t="s">
        <v>8</v>
      </c>
      <c r="D815" s="160" t="s">
        <v>63</v>
      </c>
      <c r="E815" s="162">
        <v>45830</v>
      </c>
    </row>
    <row r="816" spans="1:5" x14ac:dyDescent="0.25">
      <c r="A816" s="163" t="s">
        <v>572</v>
      </c>
      <c r="B816" s="169">
        <v>22.349999999999998</v>
      </c>
      <c r="C816" s="165" t="s">
        <v>8</v>
      </c>
      <c r="D816" s="165" t="s">
        <v>61</v>
      </c>
      <c r="E816" s="164">
        <v>45831</v>
      </c>
    </row>
    <row r="817" spans="1:5" x14ac:dyDescent="0.25">
      <c r="A817" s="161" t="s">
        <v>573</v>
      </c>
      <c r="B817" s="170">
        <v>54.256250000000001</v>
      </c>
      <c r="C817" s="160" t="s">
        <v>8</v>
      </c>
      <c r="D817" s="160" t="s">
        <v>11</v>
      </c>
      <c r="E817" s="162">
        <v>45831</v>
      </c>
    </row>
    <row r="818" spans="1:5" x14ac:dyDescent="0.25">
      <c r="A818" s="163" t="s">
        <v>574</v>
      </c>
      <c r="B818" s="169">
        <v>27.803333333333331</v>
      </c>
      <c r="C818" s="165" t="s">
        <v>8</v>
      </c>
      <c r="D818" s="165" t="s">
        <v>14</v>
      </c>
      <c r="E818" s="164">
        <v>45831</v>
      </c>
    </row>
    <row r="819" spans="1:5" x14ac:dyDescent="0.25">
      <c r="A819" s="161" t="s">
        <v>581</v>
      </c>
      <c r="B819" s="170">
        <v>39.123333333333335</v>
      </c>
      <c r="C819" s="160" t="s">
        <v>8</v>
      </c>
      <c r="D819" s="160" t="s">
        <v>517</v>
      </c>
      <c r="E819" s="162">
        <v>45831</v>
      </c>
    </row>
    <row r="820" spans="1:5" x14ac:dyDescent="0.25">
      <c r="A820" s="163" t="s">
        <v>43</v>
      </c>
      <c r="B820" s="169">
        <v>175.54</v>
      </c>
      <c r="C820" s="165" t="s">
        <v>8</v>
      </c>
      <c r="D820" s="165" t="s">
        <v>31</v>
      </c>
      <c r="E820" s="164">
        <v>45831</v>
      </c>
    </row>
    <row r="821" spans="1:5" x14ac:dyDescent="0.25">
      <c r="A821" s="161" t="s">
        <v>582</v>
      </c>
      <c r="B821" s="170">
        <v>62.44</v>
      </c>
      <c r="C821" s="160" t="s">
        <v>8</v>
      </c>
      <c r="D821" s="160" t="s">
        <v>11</v>
      </c>
      <c r="E821" s="162">
        <v>45831</v>
      </c>
    </row>
    <row r="822" spans="1:5" x14ac:dyDescent="0.25">
      <c r="A822" s="163" t="s">
        <v>496</v>
      </c>
      <c r="B822" s="169">
        <v>39.9</v>
      </c>
      <c r="C822" s="165" t="s">
        <v>8</v>
      </c>
      <c r="D822" s="165" t="s">
        <v>117</v>
      </c>
      <c r="E822" s="164">
        <v>45831</v>
      </c>
    </row>
    <row r="823" spans="1:5" x14ac:dyDescent="0.25">
      <c r="A823" s="161" t="s">
        <v>583</v>
      </c>
      <c r="B823" s="170">
        <v>28.24</v>
      </c>
      <c r="C823" s="160" t="s">
        <v>8</v>
      </c>
      <c r="D823" s="160" t="s">
        <v>22</v>
      </c>
      <c r="E823" s="162">
        <v>45832</v>
      </c>
    </row>
    <row r="824" spans="1:5" x14ac:dyDescent="0.25">
      <c r="A824" s="163" t="s">
        <v>584</v>
      </c>
      <c r="B824" s="169">
        <v>222.29999999999998</v>
      </c>
      <c r="C824" s="165" t="s">
        <v>8</v>
      </c>
      <c r="D824" s="165" t="s">
        <v>22</v>
      </c>
      <c r="E824" s="164">
        <v>45832</v>
      </c>
    </row>
    <row r="825" spans="1:5" x14ac:dyDescent="0.25">
      <c r="A825" s="161" t="s">
        <v>585</v>
      </c>
      <c r="B825" s="170">
        <v>55.875</v>
      </c>
      <c r="C825" s="160" t="s">
        <v>8</v>
      </c>
      <c r="D825" s="160" t="s">
        <v>22</v>
      </c>
      <c r="E825" s="162">
        <v>45832</v>
      </c>
    </row>
    <row r="826" spans="1:5" x14ac:dyDescent="0.25">
      <c r="A826" s="163" t="s">
        <v>544</v>
      </c>
      <c r="B826" s="169">
        <v>36.313333333333333</v>
      </c>
      <c r="C826" s="165" t="s">
        <v>8</v>
      </c>
      <c r="D826" s="165" t="s">
        <v>11</v>
      </c>
      <c r="E826" s="164">
        <v>45832</v>
      </c>
    </row>
    <row r="827" spans="1:5" x14ac:dyDescent="0.25">
      <c r="A827" s="161" t="s">
        <v>586</v>
      </c>
      <c r="B827" s="170">
        <v>68</v>
      </c>
      <c r="C827" s="160" t="s">
        <v>8</v>
      </c>
      <c r="D827" s="160" t="s">
        <v>22</v>
      </c>
      <c r="E827" s="162">
        <v>45832</v>
      </c>
    </row>
    <row r="828" spans="1:5" x14ac:dyDescent="0.25">
      <c r="A828" s="163" t="s">
        <v>587</v>
      </c>
      <c r="B828" s="169">
        <v>32.71</v>
      </c>
      <c r="C828" s="165" t="s">
        <v>8</v>
      </c>
      <c r="D828" s="165" t="s">
        <v>22</v>
      </c>
      <c r="E828" s="164">
        <v>45832</v>
      </c>
    </row>
    <row r="829" spans="1:5" x14ac:dyDescent="0.25">
      <c r="A829" s="161" t="s">
        <v>588</v>
      </c>
      <c r="B829" s="170">
        <v>71.78</v>
      </c>
      <c r="C829" s="160" t="s">
        <v>8</v>
      </c>
      <c r="D829" s="160" t="s">
        <v>11</v>
      </c>
      <c r="E829" s="162">
        <v>45832</v>
      </c>
    </row>
    <row r="830" spans="1:5" x14ac:dyDescent="0.25">
      <c r="A830" s="163" t="s">
        <v>529</v>
      </c>
      <c r="B830" s="169">
        <v>50.08</v>
      </c>
      <c r="C830" s="165" t="s">
        <v>8</v>
      </c>
      <c r="D830" s="165" t="s">
        <v>14</v>
      </c>
      <c r="E830" s="164">
        <v>45832</v>
      </c>
    </row>
    <row r="831" spans="1:5" x14ac:dyDescent="0.25">
      <c r="A831" s="161" t="s">
        <v>589</v>
      </c>
      <c r="B831" s="170">
        <v>41.9</v>
      </c>
      <c r="C831" s="160" t="s">
        <v>8</v>
      </c>
      <c r="D831" s="160" t="s">
        <v>11</v>
      </c>
      <c r="E831" s="162">
        <v>45833</v>
      </c>
    </row>
    <row r="832" spans="1:5" x14ac:dyDescent="0.25">
      <c r="A832" s="163" t="s">
        <v>590</v>
      </c>
      <c r="B832" s="169">
        <v>185.11</v>
      </c>
      <c r="C832" s="165" t="s">
        <v>8</v>
      </c>
      <c r="D832" s="165" t="s">
        <v>517</v>
      </c>
      <c r="E832" s="164">
        <v>45833</v>
      </c>
    </row>
    <row r="833" spans="1:5" x14ac:dyDescent="0.25">
      <c r="A833" s="161" t="s">
        <v>590</v>
      </c>
      <c r="B833" s="170">
        <v>216.50333333333333</v>
      </c>
      <c r="C833" s="160" t="s">
        <v>8</v>
      </c>
      <c r="D833" s="160" t="s">
        <v>517</v>
      </c>
      <c r="E833" s="162">
        <v>45833</v>
      </c>
    </row>
    <row r="834" spans="1:5" x14ac:dyDescent="0.25">
      <c r="A834" s="163" t="s">
        <v>591</v>
      </c>
      <c r="B834" s="169">
        <v>50</v>
      </c>
      <c r="C834" s="165" t="s">
        <v>8</v>
      </c>
      <c r="D834" s="165" t="s">
        <v>114</v>
      </c>
      <c r="E834" s="164">
        <v>45834</v>
      </c>
    </row>
    <row r="835" spans="1:5" x14ac:dyDescent="0.25">
      <c r="A835" s="161" t="s">
        <v>592</v>
      </c>
      <c r="B835" s="170">
        <v>195</v>
      </c>
      <c r="C835" s="160" t="s">
        <v>8</v>
      </c>
      <c r="D835" s="160" t="s">
        <v>114</v>
      </c>
      <c r="E835" s="162">
        <v>45835</v>
      </c>
    </row>
    <row r="836" spans="1:5" x14ac:dyDescent="0.25">
      <c r="A836" s="163" t="s">
        <v>593</v>
      </c>
      <c r="B836" s="169">
        <v>300.81</v>
      </c>
      <c r="C836" s="165" t="s">
        <v>8</v>
      </c>
      <c r="D836" s="165" t="s">
        <v>16</v>
      </c>
      <c r="E836" s="164">
        <v>45835</v>
      </c>
    </row>
    <row r="837" spans="1:5" x14ac:dyDescent="0.25">
      <c r="A837" s="161" t="s">
        <v>594</v>
      </c>
      <c r="B837" s="170">
        <v>460.23</v>
      </c>
      <c r="C837" s="160" t="s">
        <v>8</v>
      </c>
      <c r="D837" s="160" t="s">
        <v>36</v>
      </c>
      <c r="E837" s="162">
        <v>45836</v>
      </c>
    </row>
    <row r="838" spans="1:5" x14ac:dyDescent="0.25">
      <c r="A838" s="163" t="s">
        <v>595</v>
      </c>
      <c r="B838" s="169">
        <v>135.16</v>
      </c>
      <c r="C838" s="165" t="s">
        <v>8</v>
      </c>
      <c r="D838" s="165" t="s">
        <v>14</v>
      </c>
      <c r="E838" s="164">
        <v>45836</v>
      </c>
    </row>
    <row r="839" spans="1:5" x14ac:dyDescent="0.25">
      <c r="A839" s="161" t="s">
        <v>593</v>
      </c>
      <c r="B839" s="170">
        <v>43.73</v>
      </c>
      <c r="C839" s="160" t="s">
        <v>8</v>
      </c>
      <c r="D839" s="160" t="s">
        <v>16</v>
      </c>
      <c r="E839" s="162">
        <v>45836</v>
      </c>
    </row>
    <row r="840" spans="1:5" x14ac:dyDescent="0.25">
      <c r="A840" s="163" t="s">
        <v>281</v>
      </c>
      <c r="B840" s="169">
        <v>162.9</v>
      </c>
      <c r="C840" s="165" t="s">
        <v>8</v>
      </c>
      <c r="D840" s="165" t="s">
        <v>36</v>
      </c>
      <c r="E840" s="164">
        <v>45836</v>
      </c>
    </row>
    <row r="841" spans="1:5" x14ac:dyDescent="0.25">
      <c r="A841" s="161" t="s">
        <v>128</v>
      </c>
      <c r="B841" s="170">
        <v>40</v>
      </c>
      <c r="C841" s="160" t="s">
        <v>8</v>
      </c>
      <c r="D841" s="160" t="s">
        <v>63</v>
      </c>
      <c r="E841" s="162">
        <v>45837</v>
      </c>
    </row>
    <row r="842" spans="1:5" x14ac:dyDescent="0.25">
      <c r="A842" s="163" t="s">
        <v>599</v>
      </c>
      <c r="B842" s="169">
        <v>100</v>
      </c>
      <c r="C842" s="165" t="s">
        <v>8</v>
      </c>
      <c r="D842" s="165" t="s">
        <v>16</v>
      </c>
      <c r="E842" s="164">
        <v>45835</v>
      </c>
    </row>
    <row r="843" spans="1:5" x14ac:dyDescent="0.25">
      <c r="A843" s="161" t="s">
        <v>533</v>
      </c>
      <c r="B843" s="170">
        <v>1650</v>
      </c>
      <c r="C843" s="160" t="s">
        <v>8</v>
      </c>
      <c r="D843" s="160" t="s">
        <v>22</v>
      </c>
      <c r="E843" s="162">
        <v>45838</v>
      </c>
    </row>
    <row r="844" spans="1:5" x14ac:dyDescent="0.25">
      <c r="A844" s="165" t="s">
        <v>60</v>
      </c>
      <c r="B844" s="156">
        <v>119</v>
      </c>
      <c r="C844" s="165" t="s">
        <v>8</v>
      </c>
      <c r="D844" s="165" t="s">
        <v>61</v>
      </c>
      <c r="E844" s="158">
        <v>45841</v>
      </c>
    </row>
    <row r="845" spans="1:5" x14ac:dyDescent="0.25">
      <c r="A845" s="160" t="s">
        <v>62</v>
      </c>
      <c r="B845" s="157">
        <v>400</v>
      </c>
      <c r="C845" s="160" t="s">
        <v>8</v>
      </c>
      <c r="D845" s="160" t="s">
        <v>63</v>
      </c>
      <c r="E845" s="159">
        <v>45841</v>
      </c>
    </row>
    <row r="846" spans="1:5" x14ac:dyDescent="0.25">
      <c r="A846" s="165" t="s">
        <v>64</v>
      </c>
      <c r="B846" s="156">
        <v>289.89999999999998</v>
      </c>
      <c r="C846" s="165" t="s">
        <v>8</v>
      </c>
      <c r="D846" s="165" t="s">
        <v>61</v>
      </c>
      <c r="E846" s="158">
        <v>45843</v>
      </c>
    </row>
    <row r="847" spans="1:5" x14ac:dyDescent="0.25">
      <c r="A847" s="160" t="s">
        <v>80</v>
      </c>
      <c r="B847" s="157">
        <v>0</v>
      </c>
      <c r="C847" s="160" t="s">
        <v>8</v>
      </c>
      <c r="D847" s="160" t="s">
        <v>68</v>
      </c>
      <c r="E847" s="159">
        <v>45850</v>
      </c>
    </row>
    <row r="848" spans="1:5" x14ac:dyDescent="0.25">
      <c r="A848" s="165" t="s">
        <v>69</v>
      </c>
      <c r="B848" s="156">
        <v>5000</v>
      </c>
      <c r="C848" s="165" t="s">
        <v>8</v>
      </c>
      <c r="D848" s="165" t="s">
        <v>70</v>
      </c>
      <c r="E848" s="158">
        <v>45853</v>
      </c>
    </row>
    <row r="849" spans="1:5" x14ac:dyDescent="0.25">
      <c r="A849" s="160" t="s">
        <v>74</v>
      </c>
      <c r="B849" s="157">
        <v>5710.37</v>
      </c>
      <c r="C849" s="160" t="s">
        <v>72</v>
      </c>
      <c r="D849" s="160" t="s">
        <v>73</v>
      </c>
      <c r="E849" s="159">
        <v>45853</v>
      </c>
    </row>
    <row r="850" spans="1:5" x14ac:dyDescent="0.25">
      <c r="A850" s="165" t="s">
        <v>411</v>
      </c>
      <c r="B850" s="156">
        <v>113.75</v>
      </c>
      <c r="C850" s="165" t="s">
        <v>8</v>
      </c>
      <c r="D850" s="165" t="s">
        <v>68</v>
      </c>
      <c r="E850" s="158">
        <v>45854</v>
      </c>
    </row>
    <row r="851" spans="1:5" x14ac:dyDescent="0.25">
      <c r="A851" s="160" t="s">
        <v>75</v>
      </c>
      <c r="B851" s="157">
        <v>60</v>
      </c>
      <c r="C851" s="160" t="s">
        <v>8</v>
      </c>
      <c r="D851" s="160" t="s">
        <v>63</v>
      </c>
      <c r="E851" s="159">
        <v>45856</v>
      </c>
    </row>
    <row r="852" spans="1:5" x14ac:dyDescent="0.25">
      <c r="A852" s="165" t="s">
        <v>76</v>
      </c>
      <c r="B852" s="156">
        <v>100</v>
      </c>
      <c r="C852" s="165" t="s">
        <v>8</v>
      </c>
      <c r="D852" s="165" t="s">
        <v>63</v>
      </c>
      <c r="E852" s="158">
        <v>45863</v>
      </c>
    </row>
    <row r="853" spans="1:5" x14ac:dyDescent="0.25">
      <c r="A853" s="160" t="s">
        <v>77</v>
      </c>
      <c r="B853" s="157">
        <v>66.900000000000006</v>
      </c>
      <c r="C853" s="160" t="s">
        <v>8</v>
      </c>
      <c r="D853" s="160" t="s">
        <v>20</v>
      </c>
      <c r="E853" s="159">
        <v>45863</v>
      </c>
    </row>
    <row r="854" spans="1:5" x14ac:dyDescent="0.25">
      <c r="A854" s="165" t="s">
        <v>78</v>
      </c>
      <c r="B854" s="156">
        <v>12.9</v>
      </c>
      <c r="C854" s="165" t="s">
        <v>8</v>
      </c>
      <c r="D854" s="165" t="s">
        <v>20</v>
      </c>
      <c r="E854" s="158">
        <v>45866</v>
      </c>
    </row>
    <row r="855" spans="1:5" x14ac:dyDescent="0.25">
      <c r="A855" s="160" t="s">
        <v>81</v>
      </c>
      <c r="B855" s="157">
        <v>113.7</v>
      </c>
      <c r="C855" s="160" t="s">
        <v>8</v>
      </c>
      <c r="D855" s="160" t="s">
        <v>68</v>
      </c>
      <c r="E855" s="159">
        <v>45868</v>
      </c>
    </row>
    <row r="856" spans="1:5" x14ac:dyDescent="0.25">
      <c r="A856" s="165" t="s">
        <v>82</v>
      </c>
      <c r="B856" s="156">
        <v>368.01</v>
      </c>
      <c r="C856" s="165" t="s">
        <v>8</v>
      </c>
      <c r="D856" s="165" t="s">
        <v>68</v>
      </c>
      <c r="E856" s="158">
        <v>45868</v>
      </c>
    </row>
    <row r="857" spans="1:5" x14ac:dyDescent="0.25">
      <c r="A857" s="160" t="s">
        <v>625</v>
      </c>
      <c r="B857" s="157">
        <v>394.7</v>
      </c>
      <c r="C857" s="160" t="s">
        <v>8</v>
      </c>
      <c r="D857" s="160" t="s">
        <v>68</v>
      </c>
      <c r="E857" s="159">
        <v>45868</v>
      </c>
    </row>
    <row r="858" spans="1:5" x14ac:dyDescent="0.25">
      <c r="A858" s="165" t="s">
        <v>83</v>
      </c>
      <c r="B858" s="156">
        <v>4519.42</v>
      </c>
      <c r="C858" s="165" t="s">
        <v>72</v>
      </c>
      <c r="D858" s="165" t="s">
        <v>73</v>
      </c>
      <c r="E858" s="158">
        <v>45868</v>
      </c>
    </row>
    <row r="859" spans="1:5" x14ac:dyDescent="0.25">
      <c r="A859" s="160" t="s">
        <v>601</v>
      </c>
      <c r="B859" s="157">
        <v>16000</v>
      </c>
      <c r="C859" s="160" t="s">
        <v>72</v>
      </c>
      <c r="D859" s="160" t="s">
        <v>73</v>
      </c>
      <c r="E859" s="159">
        <v>45868</v>
      </c>
    </row>
    <row r="860" spans="1:5" x14ac:dyDescent="0.25">
      <c r="A860" s="165" t="s">
        <v>636</v>
      </c>
      <c r="B860" s="156">
        <v>800</v>
      </c>
      <c r="C860" s="165" t="s">
        <v>8</v>
      </c>
      <c r="D860" s="165" t="s">
        <v>114</v>
      </c>
      <c r="E860" s="158">
        <v>45868</v>
      </c>
    </row>
    <row r="861" spans="1:5" x14ac:dyDescent="0.25">
      <c r="A861" s="160" t="s">
        <v>533</v>
      </c>
      <c r="B861" s="157">
        <v>2000</v>
      </c>
      <c r="C861" s="160" t="s">
        <v>8</v>
      </c>
      <c r="D861" s="160" t="s">
        <v>22</v>
      </c>
      <c r="E861" s="159">
        <v>45868</v>
      </c>
    </row>
    <row r="862" spans="1:5" x14ac:dyDescent="0.25">
      <c r="A862" s="152" t="s">
        <v>271</v>
      </c>
      <c r="B862" s="156">
        <f>877.5/12</f>
        <v>73.125</v>
      </c>
      <c r="C862" s="152" t="s">
        <v>8</v>
      </c>
      <c r="D862" s="152" t="s">
        <v>16</v>
      </c>
      <c r="E862" s="158">
        <v>45629</v>
      </c>
    </row>
    <row r="863" spans="1:5" x14ac:dyDescent="0.25">
      <c r="A863" s="160" t="s">
        <v>272</v>
      </c>
      <c r="B863" s="168">
        <v>346.14</v>
      </c>
      <c r="C863" s="154" t="s">
        <v>8</v>
      </c>
      <c r="D863" s="160" t="s">
        <v>108</v>
      </c>
      <c r="E863" s="159">
        <v>45657</v>
      </c>
    </row>
    <row r="864" spans="1:5" x14ac:dyDescent="0.25">
      <c r="A864" s="152" t="s">
        <v>273</v>
      </c>
      <c r="B864" s="156">
        <v>33.36</v>
      </c>
      <c r="C864" s="152" t="s">
        <v>8</v>
      </c>
      <c r="D864" s="152" t="s">
        <v>11</v>
      </c>
      <c r="E864" s="158">
        <v>45639</v>
      </c>
    </row>
    <row r="865" spans="1:5" x14ac:dyDescent="0.25">
      <c r="A865" s="160" t="s">
        <v>274</v>
      </c>
      <c r="B865" s="157">
        <v>68.8</v>
      </c>
      <c r="C865" s="160" t="s">
        <v>8</v>
      </c>
      <c r="D865" s="160" t="s">
        <v>22</v>
      </c>
      <c r="E865" s="159">
        <v>45668</v>
      </c>
    </row>
    <row r="866" spans="1:5" x14ac:dyDescent="0.25">
      <c r="A866" s="152" t="s">
        <v>275</v>
      </c>
      <c r="B866" s="156">
        <f>598.8/12</f>
        <v>49.9</v>
      </c>
      <c r="C866" s="152" t="s">
        <v>8</v>
      </c>
      <c r="D866" s="152" t="s">
        <v>20</v>
      </c>
      <c r="E866" s="158">
        <v>45681</v>
      </c>
    </row>
    <row r="867" spans="1:5" x14ac:dyDescent="0.25">
      <c r="A867" s="154" t="s">
        <v>276</v>
      </c>
      <c r="B867" s="157">
        <v>42.66</v>
      </c>
      <c r="C867" s="154" t="s">
        <v>8</v>
      </c>
      <c r="D867" s="154" t="s">
        <v>11</v>
      </c>
      <c r="E867" s="155">
        <v>45698</v>
      </c>
    </row>
    <row r="868" spans="1:5" x14ac:dyDescent="0.25">
      <c r="A868" s="152" t="s">
        <v>277</v>
      </c>
      <c r="B868" s="156">
        <f>199/6</f>
        <v>33.166666666666664</v>
      </c>
      <c r="C868" s="152" t="s">
        <v>8</v>
      </c>
      <c r="D868" s="152" t="s">
        <v>114</v>
      </c>
      <c r="E868" s="153">
        <v>45701</v>
      </c>
    </row>
    <row r="869" spans="1:5" x14ac:dyDescent="0.25">
      <c r="A869" s="154" t="s">
        <v>278</v>
      </c>
      <c r="B869" s="157">
        <v>116.33</v>
      </c>
      <c r="C869" s="154" t="s">
        <v>8</v>
      </c>
      <c r="D869" s="154" t="s">
        <v>11</v>
      </c>
      <c r="E869" s="155">
        <v>45710</v>
      </c>
    </row>
    <row r="870" spans="1:5" x14ac:dyDescent="0.25">
      <c r="A870" s="163" t="s">
        <v>282</v>
      </c>
      <c r="B870" s="169">
        <v>39.134999999999998</v>
      </c>
      <c r="C870" s="165" t="s">
        <v>8</v>
      </c>
      <c r="D870" s="165" t="s">
        <v>22</v>
      </c>
      <c r="E870" s="164">
        <v>45718</v>
      </c>
    </row>
    <row r="871" spans="1:5" x14ac:dyDescent="0.25">
      <c r="A871" s="161" t="s">
        <v>287</v>
      </c>
      <c r="B871" s="170">
        <v>57.179999999999993</v>
      </c>
      <c r="C871" s="160" t="s">
        <v>8</v>
      </c>
      <c r="D871" s="160" t="s">
        <v>22</v>
      </c>
      <c r="E871" s="162">
        <v>45719</v>
      </c>
    </row>
    <row r="872" spans="1:5" x14ac:dyDescent="0.25">
      <c r="A872" s="163" t="s">
        <v>384</v>
      </c>
      <c r="B872" s="169">
        <v>27.408333333333331</v>
      </c>
      <c r="C872" s="165" t="s">
        <v>8</v>
      </c>
      <c r="D872" s="165" t="s">
        <v>11</v>
      </c>
      <c r="E872" s="164">
        <v>45731</v>
      </c>
    </row>
    <row r="873" spans="1:5" x14ac:dyDescent="0.25">
      <c r="A873" s="161" t="s">
        <v>385</v>
      </c>
      <c r="B873" s="170">
        <v>27.406666666666666</v>
      </c>
      <c r="C873" s="160" t="s">
        <v>8</v>
      </c>
      <c r="D873" s="160" t="s">
        <v>14</v>
      </c>
      <c r="E873" s="162">
        <v>45731</v>
      </c>
    </row>
    <row r="874" spans="1:5" x14ac:dyDescent="0.25">
      <c r="A874" s="163" t="s">
        <v>391</v>
      </c>
      <c r="B874" s="169">
        <v>36.907499999999999</v>
      </c>
      <c r="C874" s="165" t="s">
        <v>8</v>
      </c>
      <c r="D874" s="165" t="s">
        <v>22</v>
      </c>
      <c r="E874" s="164">
        <v>45734</v>
      </c>
    </row>
    <row r="875" spans="1:5" x14ac:dyDescent="0.25">
      <c r="A875" s="161" t="s">
        <v>392</v>
      </c>
      <c r="B875" s="170">
        <v>133.25</v>
      </c>
      <c r="C875" s="160" t="s">
        <v>8</v>
      </c>
      <c r="D875" s="160" t="s">
        <v>22</v>
      </c>
      <c r="E875" s="162">
        <v>45734</v>
      </c>
    </row>
    <row r="876" spans="1:5" x14ac:dyDescent="0.25">
      <c r="A876" s="163" t="s">
        <v>400</v>
      </c>
      <c r="B876" s="169">
        <v>54.991666666666667</v>
      </c>
      <c r="C876" s="165" t="s">
        <v>8</v>
      </c>
      <c r="D876" s="165" t="s">
        <v>11</v>
      </c>
      <c r="E876" s="164">
        <v>45742</v>
      </c>
    </row>
    <row r="877" spans="1:5" x14ac:dyDescent="0.25">
      <c r="A877" s="161" t="s">
        <v>418</v>
      </c>
      <c r="B877" s="170">
        <v>52.28875</v>
      </c>
      <c r="C877" s="160" t="s">
        <v>8</v>
      </c>
      <c r="D877" s="160" t="s">
        <v>61</v>
      </c>
      <c r="E877" s="162">
        <v>45753</v>
      </c>
    </row>
    <row r="878" spans="1:5" x14ac:dyDescent="0.25">
      <c r="A878" s="163" t="s">
        <v>439</v>
      </c>
      <c r="B878" s="169">
        <v>123.5</v>
      </c>
      <c r="C878" s="165" t="s">
        <v>8</v>
      </c>
      <c r="D878" s="165" t="s">
        <v>11</v>
      </c>
      <c r="E878" s="164">
        <v>45771</v>
      </c>
    </row>
    <row r="879" spans="1:5" x14ac:dyDescent="0.25">
      <c r="A879" s="161" t="s">
        <v>447</v>
      </c>
      <c r="B879" s="170">
        <v>50.949999999999996</v>
      </c>
      <c r="C879" s="160" t="s">
        <v>8</v>
      </c>
      <c r="D879" s="160" t="s">
        <v>14</v>
      </c>
      <c r="E879" s="162">
        <v>45775</v>
      </c>
    </row>
    <row r="880" spans="1:5" x14ac:dyDescent="0.25">
      <c r="A880" s="163" t="s">
        <v>454</v>
      </c>
      <c r="B880" s="169">
        <v>90.24666666666667</v>
      </c>
      <c r="C880" s="165" t="s">
        <v>8</v>
      </c>
      <c r="D880" s="165" t="s">
        <v>14</v>
      </c>
      <c r="E880" s="164">
        <v>45778</v>
      </c>
    </row>
    <row r="881" spans="1:5" x14ac:dyDescent="0.25">
      <c r="A881" s="161" t="s">
        <v>456</v>
      </c>
      <c r="B881" s="170">
        <v>52.06</v>
      </c>
      <c r="C881" s="160" t="s">
        <v>8</v>
      </c>
      <c r="D881" s="160" t="s">
        <v>22</v>
      </c>
      <c r="E881" s="162">
        <v>45780</v>
      </c>
    </row>
    <row r="882" spans="1:5" x14ac:dyDescent="0.25">
      <c r="A882" s="163" t="s">
        <v>457</v>
      </c>
      <c r="B882" s="169">
        <v>39.699999999999996</v>
      </c>
      <c r="C882" s="165" t="s">
        <v>8</v>
      </c>
      <c r="D882" s="165" t="s">
        <v>114</v>
      </c>
      <c r="E882" s="164">
        <v>45780</v>
      </c>
    </row>
    <row r="883" spans="1:5" x14ac:dyDescent="0.25">
      <c r="A883" s="161" t="s">
        <v>471</v>
      </c>
      <c r="B883" s="170">
        <v>122.45</v>
      </c>
      <c r="C883" s="160" t="s">
        <v>8</v>
      </c>
      <c r="D883" s="160" t="s">
        <v>11</v>
      </c>
      <c r="E883" s="162">
        <v>45789</v>
      </c>
    </row>
    <row r="884" spans="1:5" x14ac:dyDescent="0.25">
      <c r="A884" s="163" t="s">
        <v>483</v>
      </c>
      <c r="B884" s="169">
        <v>245.4</v>
      </c>
      <c r="C884" s="165" t="s">
        <v>8</v>
      </c>
      <c r="D884" s="165" t="s">
        <v>14</v>
      </c>
      <c r="E884" s="164">
        <v>45796</v>
      </c>
    </row>
    <row r="885" spans="1:5" x14ac:dyDescent="0.25">
      <c r="A885" s="161" t="s">
        <v>486</v>
      </c>
      <c r="B885" s="170">
        <v>142.34</v>
      </c>
      <c r="C885" s="160" t="s">
        <v>8</v>
      </c>
      <c r="D885" s="160" t="s">
        <v>14</v>
      </c>
      <c r="E885" s="162">
        <v>45797</v>
      </c>
    </row>
    <row r="886" spans="1:5" x14ac:dyDescent="0.25">
      <c r="A886" s="163" t="s">
        <v>518</v>
      </c>
      <c r="B886" s="169">
        <v>133.64000000000001</v>
      </c>
      <c r="C886" s="165" t="s">
        <v>8</v>
      </c>
      <c r="D886" s="165" t="s">
        <v>517</v>
      </c>
      <c r="E886" s="164">
        <v>45798</v>
      </c>
    </row>
    <row r="887" spans="1:5" x14ac:dyDescent="0.25">
      <c r="A887" s="161" t="s">
        <v>490</v>
      </c>
      <c r="B887" s="170">
        <v>53.569000000000003</v>
      </c>
      <c r="C887" s="160" t="s">
        <v>8</v>
      </c>
      <c r="D887" s="160" t="s">
        <v>14</v>
      </c>
      <c r="E887" s="162">
        <v>45799</v>
      </c>
    </row>
    <row r="888" spans="1:5" x14ac:dyDescent="0.25">
      <c r="A888" s="163" t="s">
        <v>495</v>
      </c>
      <c r="B888" s="169">
        <v>68.393333333333331</v>
      </c>
      <c r="C888" s="165" t="s">
        <v>8</v>
      </c>
      <c r="D888" s="165" t="s">
        <v>14</v>
      </c>
      <c r="E888" s="164">
        <v>45801</v>
      </c>
    </row>
    <row r="889" spans="1:5" x14ac:dyDescent="0.25">
      <c r="A889" s="161" t="s">
        <v>505</v>
      </c>
      <c r="B889" s="170">
        <v>81.599999999999994</v>
      </c>
      <c r="C889" s="160" t="s">
        <v>8</v>
      </c>
      <c r="D889" s="160" t="s">
        <v>11</v>
      </c>
      <c r="E889" s="162">
        <v>45805</v>
      </c>
    </row>
    <row r="890" spans="1:5" x14ac:dyDescent="0.25">
      <c r="A890" s="163" t="s">
        <v>506</v>
      </c>
      <c r="B890" s="169">
        <v>39.012500000000003</v>
      </c>
      <c r="C890" s="165" t="s">
        <v>8</v>
      </c>
      <c r="D890" s="165" t="s">
        <v>22</v>
      </c>
      <c r="E890" s="164">
        <v>45805</v>
      </c>
    </row>
    <row r="891" spans="1:5" x14ac:dyDescent="0.25">
      <c r="A891" s="161" t="s">
        <v>513</v>
      </c>
      <c r="B891" s="170">
        <v>47.5</v>
      </c>
      <c r="C891" s="160" t="s">
        <v>8</v>
      </c>
      <c r="D891" s="160" t="s">
        <v>22</v>
      </c>
      <c r="E891" s="162">
        <v>45810</v>
      </c>
    </row>
    <row r="892" spans="1:5" x14ac:dyDescent="0.25">
      <c r="A892" s="163" t="s">
        <v>514</v>
      </c>
      <c r="B892" s="169">
        <v>31.995999999999999</v>
      </c>
      <c r="C892" s="165" t="s">
        <v>8</v>
      </c>
      <c r="D892" s="165" t="s">
        <v>22</v>
      </c>
      <c r="E892" s="164">
        <v>45811</v>
      </c>
    </row>
    <row r="893" spans="1:5" x14ac:dyDescent="0.25">
      <c r="A893" s="161" t="s">
        <v>527</v>
      </c>
      <c r="B893" s="170">
        <v>133.64000000000001</v>
      </c>
      <c r="C893" s="160" t="s">
        <v>8</v>
      </c>
      <c r="D893" s="160" t="s">
        <v>517</v>
      </c>
      <c r="E893" s="162">
        <v>45810</v>
      </c>
    </row>
    <row r="894" spans="1:5" x14ac:dyDescent="0.25">
      <c r="A894" s="163" t="s">
        <v>529</v>
      </c>
      <c r="B894" s="169">
        <v>54.46</v>
      </c>
      <c r="C894" s="165" t="s">
        <v>8</v>
      </c>
      <c r="D894" s="165" t="s">
        <v>14</v>
      </c>
      <c r="E894" s="164">
        <v>45810</v>
      </c>
    </row>
    <row r="895" spans="1:5" x14ac:dyDescent="0.25">
      <c r="A895" s="161" t="s">
        <v>13</v>
      </c>
      <c r="B895" s="170">
        <v>51.963333333333331</v>
      </c>
      <c r="C895" s="160" t="s">
        <v>8</v>
      </c>
      <c r="D895" s="160" t="s">
        <v>11</v>
      </c>
      <c r="E895" s="162">
        <v>45816</v>
      </c>
    </row>
    <row r="896" spans="1:5" x14ac:dyDescent="0.25">
      <c r="A896" s="163" t="s">
        <v>539</v>
      </c>
      <c r="B896" s="169">
        <v>26.333333333333332</v>
      </c>
      <c r="C896" s="165" t="s">
        <v>8</v>
      </c>
      <c r="D896" s="165" t="s">
        <v>11</v>
      </c>
      <c r="E896" s="164">
        <v>45814</v>
      </c>
    </row>
    <row r="897" spans="1:5" x14ac:dyDescent="0.25">
      <c r="A897" s="161" t="s">
        <v>543</v>
      </c>
      <c r="B897" s="170">
        <v>23.495000000000001</v>
      </c>
      <c r="C897" s="160" t="s">
        <v>8</v>
      </c>
      <c r="D897" s="160" t="s">
        <v>22</v>
      </c>
      <c r="E897" s="162">
        <v>45815</v>
      </c>
    </row>
    <row r="898" spans="1:5" x14ac:dyDescent="0.25">
      <c r="A898" s="163" t="s">
        <v>544</v>
      </c>
      <c r="B898" s="169">
        <v>77.12</v>
      </c>
      <c r="C898" s="165" t="s">
        <v>8</v>
      </c>
      <c r="D898" s="165" t="s">
        <v>114</v>
      </c>
      <c r="E898" s="164">
        <v>45816</v>
      </c>
    </row>
    <row r="899" spans="1:5" x14ac:dyDescent="0.25">
      <c r="A899" s="161" t="s">
        <v>540</v>
      </c>
      <c r="B899" s="170">
        <v>110.99666666666667</v>
      </c>
      <c r="C899" s="160" t="s">
        <v>8</v>
      </c>
      <c r="D899" s="160" t="s">
        <v>517</v>
      </c>
      <c r="E899" s="162">
        <v>45815</v>
      </c>
    </row>
    <row r="900" spans="1:5" x14ac:dyDescent="0.25">
      <c r="A900" s="163" t="s">
        <v>540</v>
      </c>
      <c r="B900" s="169">
        <v>37.013333333333335</v>
      </c>
      <c r="C900" s="165" t="s">
        <v>8</v>
      </c>
      <c r="D900" s="165" t="s">
        <v>517</v>
      </c>
      <c r="E900" s="164">
        <v>45815</v>
      </c>
    </row>
    <row r="901" spans="1:5" x14ac:dyDescent="0.25">
      <c r="A901" s="161" t="s">
        <v>554</v>
      </c>
      <c r="B901" s="170">
        <v>138.91499999999999</v>
      </c>
      <c r="C901" s="160" t="s">
        <v>8</v>
      </c>
      <c r="D901" s="160" t="s">
        <v>517</v>
      </c>
      <c r="E901" s="162">
        <v>45823</v>
      </c>
    </row>
    <row r="902" spans="1:5" x14ac:dyDescent="0.25">
      <c r="A902" s="163" t="s">
        <v>555</v>
      </c>
      <c r="B902" s="169">
        <v>151.80333333333334</v>
      </c>
      <c r="C902" s="165" t="s">
        <v>8</v>
      </c>
      <c r="D902" s="165" t="s">
        <v>517</v>
      </c>
      <c r="E902" s="164">
        <v>45823</v>
      </c>
    </row>
    <row r="903" spans="1:5" x14ac:dyDescent="0.25">
      <c r="A903" s="161" t="s">
        <v>563</v>
      </c>
      <c r="B903" s="170">
        <v>84.286666666666676</v>
      </c>
      <c r="C903" s="160" t="s">
        <v>8</v>
      </c>
      <c r="D903" s="160" t="s">
        <v>22</v>
      </c>
      <c r="E903" s="162">
        <v>45823</v>
      </c>
    </row>
    <row r="904" spans="1:5" x14ac:dyDescent="0.25">
      <c r="A904" s="163" t="s">
        <v>564</v>
      </c>
      <c r="B904" s="169">
        <v>11.417142857142858</v>
      </c>
      <c r="C904" s="165" t="s">
        <v>8</v>
      </c>
      <c r="D904" s="165" t="s">
        <v>11</v>
      </c>
      <c r="E904" s="164">
        <v>45824</v>
      </c>
    </row>
    <row r="905" spans="1:5" x14ac:dyDescent="0.25">
      <c r="A905" s="161" t="s">
        <v>566</v>
      </c>
      <c r="B905" s="170">
        <v>68.373333333333335</v>
      </c>
      <c r="C905" s="160" t="s">
        <v>8</v>
      </c>
      <c r="D905" s="160" t="s">
        <v>517</v>
      </c>
      <c r="E905" s="162">
        <v>45825</v>
      </c>
    </row>
    <row r="906" spans="1:5" x14ac:dyDescent="0.25">
      <c r="A906" s="163" t="s">
        <v>569</v>
      </c>
      <c r="B906" s="169">
        <v>20.663333333333334</v>
      </c>
      <c r="C906" s="165" t="s">
        <v>8</v>
      </c>
      <c r="D906" s="165" t="s">
        <v>22</v>
      </c>
      <c r="E906" s="164">
        <v>45827</v>
      </c>
    </row>
    <row r="907" spans="1:5" x14ac:dyDescent="0.25">
      <c r="A907" s="161" t="s">
        <v>572</v>
      </c>
      <c r="B907" s="170">
        <v>22.349999999999998</v>
      </c>
      <c r="C907" s="160" t="s">
        <v>8</v>
      </c>
      <c r="D907" s="160" t="s">
        <v>61</v>
      </c>
      <c r="E907" s="162">
        <v>45831</v>
      </c>
    </row>
    <row r="908" spans="1:5" x14ac:dyDescent="0.25">
      <c r="A908" s="163" t="s">
        <v>573</v>
      </c>
      <c r="B908" s="169">
        <v>54.256250000000001</v>
      </c>
      <c r="C908" s="165" t="s">
        <v>8</v>
      </c>
      <c r="D908" s="165" t="s">
        <v>11</v>
      </c>
      <c r="E908" s="164">
        <v>45831</v>
      </c>
    </row>
    <row r="909" spans="1:5" x14ac:dyDescent="0.25">
      <c r="A909" s="161" t="s">
        <v>574</v>
      </c>
      <c r="B909" s="170">
        <v>27.803333333333331</v>
      </c>
      <c r="C909" s="160" t="s">
        <v>8</v>
      </c>
      <c r="D909" s="160" t="s">
        <v>14</v>
      </c>
      <c r="E909" s="162">
        <v>45831</v>
      </c>
    </row>
    <row r="910" spans="1:5" x14ac:dyDescent="0.25">
      <c r="A910" s="163" t="s">
        <v>581</v>
      </c>
      <c r="B910" s="169">
        <v>39.123333333333335</v>
      </c>
      <c r="C910" s="165" t="s">
        <v>8</v>
      </c>
      <c r="D910" s="165" t="s">
        <v>517</v>
      </c>
      <c r="E910" s="164">
        <v>45831</v>
      </c>
    </row>
    <row r="911" spans="1:5" x14ac:dyDescent="0.25">
      <c r="A911" s="161" t="s">
        <v>584</v>
      </c>
      <c r="B911" s="170">
        <v>222.29999999999998</v>
      </c>
      <c r="C911" s="160" t="s">
        <v>8</v>
      </c>
      <c r="D911" s="160" t="s">
        <v>22</v>
      </c>
      <c r="E911" s="162">
        <v>45832</v>
      </c>
    </row>
    <row r="912" spans="1:5" x14ac:dyDescent="0.25">
      <c r="A912" s="163" t="s">
        <v>585</v>
      </c>
      <c r="B912" s="169">
        <v>55.875</v>
      </c>
      <c r="C912" s="165" t="s">
        <v>8</v>
      </c>
      <c r="D912" s="165" t="s">
        <v>22</v>
      </c>
      <c r="E912" s="164">
        <v>45832</v>
      </c>
    </row>
    <row r="913" spans="1:5" x14ac:dyDescent="0.25">
      <c r="A913" s="161" t="s">
        <v>544</v>
      </c>
      <c r="B913" s="170">
        <v>36.313333333333333</v>
      </c>
      <c r="C913" s="160" t="s">
        <v>8</v>
      </c>
      <c r="D913" s="160" t="s">
        <v>11</v>
      </c>
      <c r="E913" s="162">
        <v>45832</v>
      </c>
    </row>
    <row r="914" spans="1:5" x14ac:dyDescent="0.25">
      <c r="A914" s="163" t="s">
        <v>586</v>
      </c>
      <c r="B914" s="169">
        <v>68</v>
      </c>
      <c r="C914" s="165" t="s">
        <v>8</v>
      </c>
      <c r="D914" s="165" t="s">
        <v>22</v>
      </c>
      <c r="E914" s="164">
        <v>45832</v>
      </c>
    </row>
    <row r="915" spans="1:5" x14ac:dyDescent="0.25">
      <c r="A915" s="161" t="s">
        <v>590</v>
      </c>
      <c r="B915" s="170">
        <v>185.11</v>
      </c>
      <c r="C915" s="160" t="s">
        <v>8</v>
      </c>
      <c r="D915" s="160" t="s">
        <v>517</v>
      </c>
      <c r="E915" s="162">
        <v>45833</v>
      </c>
    </row>
    <row r="916" spans="1:5" x14ac:dyDescent="0.25">
      <c r="A916" s="163" t="s">
        <v>590</v>
      </c>
      <c r="B916" s="169">
        <v>216.50333333333333</v>
      </c>
      <c r="C916" s="165" t="s">
        <v>8</v>
      </c>
      <c r="D916" s="165" t="s">
        <v>517</v>
      </c>
      <c r="E916" s="164">
        <v>45833</v>
      </c>
    </row>
    <row r="917" spans="1:5" x14ac:dyDescent="0.25">
      <c r="A917" s="161" t="s">
        <v>591</v>
      </c>
      <c r="B917" s="170">
        <v>50</v>
      </c>
      <c r="C917" s="160" t="s">
        <v>8</v>
      </c>
      <c r="D917" s="160" t="s">
        <v>114</v>
      </c>
      <c r="E917" s="162">
        <v>45834</v>
      </c>
    </row>
    <row r="918" spans="1:5" x14ac:dyDescent="0.25">
      <c r="A918" s="163" t="s">
        <v>592</v>
      </c>
      <c r="B918" s="169">
        <v>195</v>
      </c>
      <c r="C918" s="165" t="s">
        <v>8</v>
      </c>
      <c r="D918" s="165" t="s">
        <v>114</v>
      </c>
      <c r="E918" s="164">
        <v>45835</v>
      </c>
    </row>
    <row r="919" spans="1:5" x14ac:dyDescent="0.25">
      <c r="A919" s="161" t="s">
        <v>596</v>
      </c>
      <c r="B919" s="170">
        <v>24</v>
      </c>
      <c r="C919" s="160" t="s">
        <v>8</v>
      </c>
      <c r="D919" s="160" t="s">
        <v>16</v>
      </c>
      <c r="E919" s="162">
        <v>45837</v>
      </c>
    </row>
    <row r="920" spans="1:5" x14ac:dyDescent="0.25">
      <c r="A920" s="163" t="s">
        <v>557</v>
      </c>
      <c r="B920" s="169">
        <v>24.99</v>
      </c>
      <c r="C920" s="165" t="s">
        <v>8</v>
      </c>
      <c r="D920" s="165" t="s">
        <v>36</v>
      </c>
      <c r="E920" s="164">
        <v>45837</v>
      </c>
    </row>
    <row r="921" spans="1:5" x14ac:dyDescent="0.25">
      <c r="A921" s="161" t="s">
        <v>597</v>
      </c>
      <c r="B921" s="170">
        <v>84.99</v>
      </c>
      <c r="C921" s="160" t="s">
        <v>8</v>
      </c>
      <c r="D921" s="160" t="s">
        <v>11</v>
      </c>
      <c r="E921" s="162">
        <v>45837</v>
      </c>
    </row>
    <row r="922" spans="1:5" x14ac:dyDescent="0.25">
      <c r="A922" s="163" t="s">
        <v>597</v>
      </c>
      <c r="B922" s="169">
        <v>98.99</v>
      </c>
      <c r="C922" s="165" t="s">
        <v>8</v>
      </c>
      <c r="D922" s="165" t="s">
        <v>11</v>
      </c>
      <c r="E922" s="164">
        <v>45837</v>
      </c>
    </row>
    <row r="923" spans="1:5" x14ac:dyDescent="0.25">
      <c r="A923" s="161" t="s">
        <v>598</v>
      </c>
      <c r="B923" s="170">
        <v>70</v>
      </c>
      <c r="C923" s="160" t="s">
        <v>8</v>
      </c>
      <c r="D923" s="160" t="s">
        <v>108</v>
      </c>
      <c r="E923" s="162">
        <v>45838</v>
      </c>
    </row>
    <row r="924" spans="1:5" x14ac:dyDescent="0.25">
      <c r="A924" s="165" t="s">
        <v>602</v>
      </c>
      <c r="B924" s="169">
        <v>16.09</v>
      </c>
      <c r="C924" s="165" t="s">
        <v>8</v>
      </c>
      <c r="D924" s="165" t="s">
        <v>22</v>
      </c>
      <c r="E924" s="164">
        <v>45839</v>
      </c>
    </row>
    <row r="925" spans="1:5" x14ac:dyDescent="0.25">
      <c r="A925" s="160" t="s">
        <v>603</v>
      </c>
      <c r="B925" s="170">
        <v>66.900000000000006</v>
      </c>
      <c r="C925" s="160" t="s">
        <v>8</v>
      </c>
      <c r="D925" s="160" t="s">
        <v>36</v>
      </c>
      <c r="E925" s="162">
        <v>45839</v>
      </c>
    </row>
    <row r="926" spans="1:5" x14ac:dyDescent="0.25">
      <c r="A926" s="165" t="s">
        <v>544</v>
      </c>
      <c r="B926" s="169">
        <v>49.44</v>
      </c>
      <c r="C926" s="165" t="s">
        <v>8</v>
      </c>
      <c r="D926" s="165" t="s">
        <v>11</v>
      </c>
      <c r="E926" s="164">
        <v>45839</v>
      </c>
    </row>
    <row r="927" spans="1:5" x14ac:dyDescent="0.25">
      <c r="A927" s="160" t="s">
        <v>597</v>
      </c>
      <c r="B927" s="170">
        <v>79.8</v>
      </c>
      <c r="C927" s="160" t="s">
        <v>8</v>
      </c>
      <c r="D927" s="160" t="s">
        <v>11</v>
      </c>
      <c r="E927" s="162">
        <v>45839</v>
      </c>
    </row>
    <row r="928" spans="1:5" x14ac:dyDescent="0.25">
      <c r="A928" s="165" t="s">
        <v>604</v>
      </c>
      <c r="B928" s="169">
        <v>15</v>
      </c>
      <c r="C928" s="165" t="s">
        <v>8</v>
      </c>
      <c r="D928" s="165" t="s">
        <v>22</v>
      </c>
      <c r="E928" s="164">
        <v>45840</v>
      </c>
    </row>
    <row r="929" spans="1:5" x14ac:dyDescent="0.25">
      <c r="A929" s="161" t="s">
        <v>613</v>
      </c>
      <c r="B929" s="170">
        <v>60</v>
      </c>
      <c r="C929" s="160" t="s">
        <v>8</v>
      </c>
      <c r="D929" s="160" t="s">
        <v>14</v>
      </c>
      <c r="E929" s="162">
        <v>45840</v>
      </c>
    </row>
    <row r="930" spans="1:5" x14ac:dyDescent="0.25">
      <c r="A930" s="163" t="s">
        <v>120</v>
      </c>
      <c r="B930" s="169">
        <v>20.27</v>
      </c>
      <c r="C930" s="165" t="s">
        <v>8</v>
      </c>
      <c r="D930" s="165" t="s">
        <v>31</v>
      </c>
      <c r="E930" s="164">
        <v>45841</v>
      </c>
    </row>
    <row r="931" spans="1:5" x14ac:dyDescent="0.25">
      <c r="A931" s="161" t="s">
        <v>614</v>
      </c>
      <c r="B931" s="170">
        <v>55.68</v>
      </c>
      <c r="C931" s="160" t="s">
        <v>8</v>
      </c>
      <c r="D931" s="160" t="s">
        <v>16</v>
      </c>
      <c r="E931" s="162">
        <v>45841</v>
      </c>
    </row>
    <row r="932" spans="1:5" x14ac:dyDescent="0.25">
      <c r="A932" s="163" t="s">
        <v>120</v>
      </c>
      <c r="B932" s="169">
        <v>21.39</v>
      </c>
      <c r="C932" s="165" t="s">
        <v>8</v>
      </c>
      <c r="D932" s="165" t="s">
        <v>31</v>
      </c>
      <c r="E932" s="164">
        <v>45842</v>
      </c>
    </row>
    <row r="933" spans="1:5" x14ac:dyDescent="0.25">
      <c r="A933" s="161" t="s">
        <v>120</v>
      </c>
      <c r="B933" s="170">
        <v>22.08</v>
      </c>
      <c r="C933" s="160" t="s">
        <v>8</v>
      </c>
      <c r="D933" s="160" t="s">
        <v>31</v>
      </c>
      <c r="E933" s="162">
        <v>45842</v>
      </c>
    </row>
    <row r="934" spans="1:5" x14ac:dyDescent="0.25">
      <c r="A934" s="163" t="s">
        <v>605</v>
      </c>
      <c r="B934" s="169">
        <v>57.5</v>
      </c>
      <c r="C934" s="165" t="s">
        <v>8</v>
      </c>
      <c r="D934" s="165" t="s">
        <v>36</v>
      </c>
      <c r="E934" s="164">
        <v>45842</v>
      </c>
    </row>
    <row r="935" spans="1:5" x14ac:dyDescent="0.25">
      <c r="A935" s="161" t="s">
        <v>606</v>
      </c>
      <c r="B935" s="170">
        <v>87.7</v>
      </c>
      <c r="C935" s="160" t="s">
        <v>8</v>
      </c>
      <c r="D935" s="160" t="s">
        <v>11</v>
      </c>
      <c r="E935" s="162">
        <v>45844</v>
      </c>
    </row>
    <row r="936" spans="1:5" x14ac:dyDescent="0.25">
      <c r="A936" s="163" t="s">
        <v>607</v>
      </c>
      <c r="B936" s="169">
        <v>30.66</v>
      </c>
      <c r="C936" s="165" t="s">
        <v>8</v>
      </c>
      <c r="D936" s="165" t="s">
        <v>114</v>
      </c>
      <c r="E936" s="164">
        <v>45844</v>
      </c>
    </row>
    <row r="937" spans="1:5" x14ac:dyDescent="0.25">
      <c r="A937" s="161" t="s">
        <v>454</v>
      </c>
      <c r="B937" s="170">
        <v>117.14</v>
      </c>
      <c r="C937" s="160" t="s">
        <v>8</v>
      </c>
      <c r="D937" s="160" t="s">
        <v>22</v>
      </c>
      <c r="E937" s="162">
        <v>45845</v>
      </c>
    </row>
    <row r="938" spans="1:5" x14ac:dyDescent="0.25">
      <c r="A938" s="163" t="s">
        <v>608</v>
      </c>
      <c r="B938" s="169">
        <v>151.4</v>
      </c>
      <c r="C938" s="165" t="s">
        <v>8</v>
      </c>
      <c r="D938" s="165" t="s">
        <v>118</v>
      </c>
      <c r="E938" s="164">
        <v>45845</v>
      </c>
    </row>
    <row r="939" spans="1:5" x14ac:dyDescent="0.25">
      <c r="A939" s="161" t="s">
        <v>609</v>
      </c>
      <c r="B939" s="170">
        <v>54</v>
      </c>
      <c r="C939" s="160" t="s">
        <v>8</v>
      </c>
      <c r="D939" s="160" t="s">
        <v>118</v>
      </c>
      <c r="E939" s="162">
        <v>45845</v>
      </c>
    </row>
    <row r="940" spans="1:5" x14ac:dyDescent="0.25">
      <c r="A940" s="163" t="s">
        <v>610</v>
      </c>
      <c r="B940" s="169">
        <v>26</v>
      </c>
      <c r="C940" s="165" t="s">
        <v>8</v>
      </c>
      <c r="D940" s="165" t="s">
        <v>36</v>
      </c>
      <c r="E940" s="164">
        <v>45845</v>
      </c>
    </row>
    <row r="941" spans="1:5" x14ac:dyDescent="0.25">
      <c r="A941" s="161" t="s">
        <v>120</v>
      </c>
      <c r="B941" s="170">
        <v>48.36</v>
      </c>
      <c r="C941" s="160" t="s">
        <v>8</v>
      </c>
      <c r="D941" s="160" t="s">
        <v>31</v>
      </c>
      <c r="E941" s="162">
        <v>45845</v>
      </c>
    </row>
    <row r="942" spans="1:5" x14ac:dyDescent="0.25">
      <c r="A942" s="163" t="s">
        <v>611</v>
      </c>
      <c r="B942" s="169">
        <v>49.9</v>
      </c>
      <c r="C942" s="165" t="s">
        <v>8</v>
      </c>
      <c r="D942" s="165" t="s">
        <v>36</v>
      </c>
      <c r="E942" s="164">
        <v>45846</v>
      </c>
    </row>
    <row r="943" spans="1:5" x14ac:dyDescent="0.25">
      <c r="A943" s="161" t="s">
        <v>612</v>
      </c>
      <c r="B943" s="170">
        <v>16.39</v>
      </c>
      <c r="C943" s="160" t="s">
        <v>8</v>
      </c>
      <c r="D943" s="160" t="s">
        <v>36</v>
      </c>
      <c r="E943" s="162">
        <v>45846</v>
      </c>
    </row>
    <row r="944" spans="1:5" x14ac:dyDescent="0.25">
      <c r="A944" s="163" t="s">
        <v>141</v>
      </c>
      <c r="B944" s="169">
        <v>50</v>
      </c>
      <c r="C944" s="165" t="s">
        <v>8</v>
      </c>
      <c r="D944" s="165" t="s">
        <v>31</v>
      </c>
      <c r="E944" s="164">
        <v>45846</v>
      </c>
    </row>
    <row r="945" spans="1:5" x14ac:dyDescent="0.25">
      <c r="A945" s="161" t="s">
        <v>43</v>
      </c>
      <c r="B945" s="170">
        <v>166.88</v>
      </c>
      <c r="C945" s="160" t="s">
        <v>8</v>
      </c>
      <c r="D945" s="160" t="s">
        <v>31</v>
      </c>
      <c r="E945" s="162">
        <v>45847</v>
      </c>
    </row>
    <row r="946" spans="1:5" x14ac:dyDescent="0.25">
      <c r="A946" s="163" t="s">
        <v>615</v>
      </c>
      <c r="B946" s="169">
        <v>5.95</v>
      </c>
      <c r="C946" s="165" t="s">
        <v>8</v>
      </c>
      <c r="D946" s="165" t="s">
        <v>36</v>
      </c>
      <c r="E946" s="164">
        <v>45847</v>
      </c>
    </row>
    <row r="947" spans="1:5" x14ac:dyDescent="0.25">
      <c r="A947" s="161" t="s">
        <v>616</v>
      </c>
      <c r="B947" s="170">
        <v>37.18</v>
      </c>
      <c r="C947" s="160" t="s">
        <v>8</v>
      </c>
      <c r="D947" s="160" t="s">
        <v>16</v>
      </c>
      <c r="E947" s="162">
        <v>45847</v>
      </c>
    </row>
    <row r="948" spans="1:5" x14ac:dyDescent="0.25">
      <c r="A948" s="163" t="s">
        <v>454</v>
      </c>
      <c r="B948" s="169">
        <v>40.630000000000003</v>
      </c>
      <c r="C948" s="165" t="s">
        <v>8</v>
      </c>
      <c r="D948" s="165" t="s">
        <v>22</v>
      </c>
      <c r="E948" s="164">
        <v>45848</v>
      </c>
    </row>
    <row r="949" spans="1:5" x14ac:dyDescent="0.25">
      <c r="A949" s="161" t="s">
        <v>602</v>
      </c>
      <c r="B949" s="170">
        <v>17.79</v>
      </c>
      <c r="C949" s="160" t="s">
        <v>8</v>
      </c>
      <c r="D949" s="160" t="s">
        <v>22</v>
      </c>
      <c r="E949" s="162">
        <v>45849</v>
      </c>
    </row>
    <row r="950" spans="1:5" x14ac:dyDescent="0.25">
      <c r="A950" s="163" t="s">
        <v>617</v>
      </c>
      <c r="B950" s="169">
        <v>165.41</v>
      </c>
      <c r="C950" s="165" t="s">
        <v>8</v>
      </c>
      <c r="D950" s="165" t="s">
        <v>61</v>
      </c>
      <c r="E950" s="164">
        <v>45849</v>
      </c>
    </row>
    <row r="951" spans="1:5" x14ac:dyDescent="0.25">
      <c r="A951" s="161" t="s">
        <v>618</v>
      </c>
      <c r="B951" s="170">
        <v>119.82</v>
      </c>
      <c r="C951" s="160" t="s">
        <v>8</v>
      </c>
      <c r="D951" s="160" t="s">
        <v>117</v>
      </c>
      <c r="E951" s="162">
        <v>45849</v>
      </c>
    </row>
    <row r="952" spans="1:5" x14ac:dyDescent="0.25">
      <c r="A952" s="163" t="s">
        <v>619</v>
      </c>
      <c r="B952" s="169">
        <v>77.98</v>
      </c>
      <c r="C952" s="165" t="s">
        <v>8</v>
      </c>
      <c r="D952" s="165" t="s">
        <v>16</v>
      </c>
      <c r="E952" s="164">
        <v>45849</v>
      </c>
    </row>
    <row r="953" spans="1:5" x14ac:dyDescent="0.25">
      <c r="A953" s="161" t="s">
        <v>620</v>
      </c>
      <c r="B953" s="170">
        <v>129.54666666666665</v>
      </c>
      <c r="C953" s="160" t="s">
        <v>8</v>
      </c>
      <c r="D953" s="160" t="s">
        <v>16</v>
      </c>
      <c r="E953" s="162">
        <v>45849</v>
      </c>
    </row>
    <row r="954" spans="1:5" x14ac:dyDescent="0.25">
      <c r="A954" s="163" t="s">
        <v>621</v>
      </c>
      <c r="B954" s="169">
        <v>20.82</v>
      </c>
      <c r="C954" s="165" t="s">
        <v>8</v>
      </c>
      <c r="D954" s="165" t="s">
        <v>114</v>
      </c>
      <c r="E954" s="164">
        <v>45850</v>
      </c>
    </row>
    <row r="955" spans="1:5" x14ac:dyDescent="0.25">
      <c r="A955" s="161" t="s">
        <v>120</v>
      </c>
      <c r="B955" s="170">
        <v>10.08</v>
      </c>
      <c r="C955" s="160" t="s">
        <v>8</v>
      </c>
      <c r="D955" s="160" t="s">
        <v>31</v>
      </c>
      <c r="E955" s="162">
        <v>45850</v>
      </c>
    </row>
    <row r="956" spans="1:5" x14ac:dyDescent="0.25">
      <c r="A956" s="163" t="s">
        <v>120</v>
      </c>
      <c r="B956" s="169">
        <v>16.32</v>
      </c>
      <c r="C956" s="165" t="s">
        <v>8</v>
      </c>
      <c r="D956" s="165" t="s">
        <v>31</v>
      </c>
      <c r="E956" s="164">
        <v>45850</v>
      </c>
    </row>
    <row r="957" spans="1:5" x14ac:dyDescent="0.25">
      <c r="A957" s="161" t="s">
        <v>552</v>
      </c>
      <c r="B957" s="170">
        <v>38</v>
      </c>
      <c r="C957" s="160" t="s">
        <v>8</v>
      </c>
      <c r="D957" s="160" t="s">
        <v>26</v>
      </c>
      <c r="E957" s="162">
        <v>45850</v>
      </c>
    </row>
    <row r="958" spans="1:5" x14ac:dyDescent="0.25">
      <c r="A958" s="163" t="s">
        <v>430</v>
      </c>
      <c r="B958" s="169">
        <v>50</v>
      </c>
      <c r="C958" s="165" t="s">
        <v>8</v>
      </c>
      <c r="D958" s="165" t="s">
        <v>31</v>
      </c>
      <c r="E958" s="164">
        <v>45850</v>
      </c>
    </row>
    <row r="959" spans="1:5" x14ac:dyDescent="0.25">
      <c r="A959" s="161" t="s">
        <v>459</v>
      </c>
      <c r="B959" s="170">
        <v>20</v>
      </c>
      <c r="C959" s="160" t="s">
        <v>8</v>
      </c>
      <c r="D959" s="160" t="s">
        <v>36</v>
      </c>
      <c r="E959" s="162">
        <v>45851</v>
      </c>
    </row>
    <row r="960" spans="1:5" x14ac:dyDescent="0.25">
      <c r="A960" s="163" t="s">
        <v>622</v>
      </c>
      <c r="B960" s="169">
        <v>156.22</v>
      </c>
      <c r="C960" s="165" t="s">
        <v>8</v>
      </c>
      <c r="D960" s="165" t="s">
        <v>16</v>
      </c>
      <c r="E960" s="164">
        <v>45851</v>
      </c>
    </row>
    <row r="961" spans="1:5" x14ac:dyDescent="0.25">
      <c r="A961" s="161" t="s">
        <v>120</v>
      </c>
      <c r="B961" s="170">
        <v>16.09</v>
      </c>
      <c r="C961" s="160" t="s">
        <v>8</v>
      </c>
      <c r="D961" s="160" t="s">
        <v>31</v>
      </c>
      <c r="E961" s="162">
        <v>45851</v>
      </c>
    </row>
    <row r="962" spans="1:5" x14ac:dyDescent="0.25">
      <c r="A962" s="163" t="s">
        <v>163</v>
      </c>
      <c r="B962" s="169">
        <v>69.900000000000006</v>
      </c>
      <c r="C962" s="165" t="s">
        <v>8</v>
      </c>
      <c r="D962" s="165" t="s">
        <v>26</v>
      </c>
      <c r="E962" s="164">
        <v>45851</v>
      </c>
    </row>
    <row r="963" spans="1:5" x14ac:dyDescent="0.25">
      <c r="A963" s="161" t="s">
        <v>623</v>
      </c>
      <c r="B963" s="170">
        <v>89</v>
      </c>
      <c r="C963" s="160" t="s">
        <v>8</v>
      </c>
      <c r="D963" s="160" t="s">
        <v>20</v>
      </c>
      <c r="E963" s="162">
        <v>45852</v>
      </c>
    </row>
    <row r="964" spans="1:5" x14ac:dyDescent="0.25">
      <c r="A964" s="163" t="s">
        <v>624</v>
      </c>
      <c r="B964" s="169">
        <v>153.03</v>
      </c>
      <c r="C964" s="165" t="s">
        <v>8</v>
      </c>
      <c r="D964" s="165" t="s">
        <v>517</v>
      </c>
      <c r="E964" s="164">
        <v>45852</v>
      </c>
    </row>
    <row r="965" spans="1:5" x14ac:dyDescent="0.25">
      <c r="A965" s="161" t="s">
        <v>627</v>
      </c>
      <c r="B965" s="170">
        <v>32.497500000000002</v>
      </c>
      <c r="C965" s="160" t="s">
        <v>8</v>
      </c>
      <c r="D965" s="160" t="s">
        <v>22</v>
      </c>
      <c r="E965" s="162">
        <v>45852</v>
      </c>
    </row>
    <row r="966" spans="1:5" x14ac:dyDescent="0.25">
      <c r="A966" s="163" t="s">
        <v>562</v>
      </c>
      <c r="B966" s="169">
        <v>26.9</v>
      </c>
      <c r="C966" s="165" t="s">
        <v>8</v>
      </c>
      <c r="D966" s="165" t="s">
        <v>20</v>
      </c>
      <c r="E966" s="164">
        <v>45852</v>
      </c>
    </row>
    <row r="967" spans="1:5" x14ac:dyDescent="0.25">
      <c r="A967" s="161" t="s">
        <v>628</v>
      </c>
      <c r="B967" s="170">
        <v>49.45</v>
      </c>
      <c r="C967" s="160" t="s">
        <v>8</v>
      </c>
      <c r="D967" s="160" t="s">
        <v>22</v>
      </c>
      <c r="E967" s="162">
        <v>45853</v>
      </c>
    </row>
    <row r="968" spans="1:5" x14ac:dyDescent="0.25">
      <c r="A968" s="163" t="s">
        <v>468</v>
      </c>
      <c r="B968" s="169">
        <v>5.95</v>
      </c>
      <c r="C968" s="165" t="s">
        <v>8</v>
      </c>
      <c r="D968" s="165" t="s">
        <v>36</v>
      </c>
      <c r="E968" s="164">
        <v>45853</v>
      </c>
    </row>
    <row r="969" spans="1:5" x14ac:dyDescent="0.25">
      <c r="A969" s="161" t="s">
        <v>626</v>
      </c>
      <c r="B969" s="170">
        <v>136.0575</v>
      </c>
      <c r="C969" s="160" t="s">
        <v>8</v>
      </c>
      <c r="D969" s="160" t="s">
        <v>517</v>
      </c>
      <c r="E969" s="162">
        <v>45853</v>
      </c>
    </row>
    <row r="970" spans="1:5" x14ac:dyDescent="0.25">
      <c r="A970" s="163" t="s">
        <v>629</v>
      </c>
      <c r="B970" s="169">
        <v>413.28</v>
      </c>
      <c r="C970" s="165" t="s">
        <v>8</v>
      </c>
      <c r="D970" s="165" t="s">
        <v>114</v>
      </c>
      <c r="E970" s="164">
        <v>45853</v>
      </c>
    </row>
    <row r="971" spans="1:5" x14ac:dyDescent="0.25">
      <c r="A971" s="161" t="s">
        <v>630</v>
      </c>
      <c r="B971" s="170">
        <v>19.47</v>
      </c>
      <c r="C971" s="160" t="s">
        <v>8</v>
      </c>
      <c r="D971" s="160" t="s">
        <v>11</v>
      </c>
      <c r="E971" s="162">
        <v>45853</v>
      </c>
    </row>
    <row r="972" spans="1:5" x14ac:dyDescent="0.25">
      <c r="A972" s="163" t="s">
        <v>630</v>
      </c>
      <c r="B972" s="169">
        <v>21.9</v>
      </c>
      <c r="C972" s="165" t="s">
        <v>8</v>
      </c>
      <c r="D972" s="165" t="s">
        <v>11</v>
      </c>
      <c r="E972" s="164">
        <v>45853</v>
      </c>
    </row>
    <row r="973" spans="1:5" x14ac:dyDescent="0.25">
      <c r="A973" s="161" t="s">
        <v>631</v>
      </c>
      <c r="B973" s="170">
        <v>75.993333333333325</v>
      </c>
      <c r="C973" s="160" t="s">
        <v>8</v>
      </c>
      <c r="D973" s="160" t="s">
        <v>22</v>
      </c>
      <c r="E973" s="162">
        <v>45854</v>
      </c>
    </row>
    <row r="974" spans="1:5" x14ac:dyDescent="0.25">
      <c r="A974" s="163" t="s">
        <v>632</v>
      </c>
      <c r="B974" s="169">
        <v>81.563999999999993</v>
      </c>
      <c r="C974" s="165" t="s">
        <v>8</v>
      </c>
      <c r="D974" s="165" t="s">
        <v>11</v>
      </c>
      <c r="E974" s="164">
        <v>45854</v>
      </c>
    </row>
    <row r="975" spans="1:5" x14ac:dyDescent="0.25">
      <c r="A975" s="161" t="s">
        <v>633</v>
      </c>
      <c r="B975" s="170">
        <v>42.616666666666667</v>
      </c>
      <c r="C975" s="160" t="s">
        <v>8</v>
      </c>
      <c r="D975" s="160" t="s">
        <v>11</v>
      </c>
      <c r="E975" s="162">
        <v>45854</v>
      </c>
    </row>
    <row r="976" spans="1:5" x14ac:dyDescent="0.25">
      <c r="A976" s="163" t="s">
        <v>634</v>
      </c>
      <c r="B976" s="169">
        <v>30</v>
      </c>
      <c r="C976" s="165" t="s">
        <v>8</v>
      </c>
      <c r="D976" s="165" t="s">
        <v>11</v>
      </c>
      <c r="E976" s="164">
        <v>45854</v>
      </c>
    </row>
    <row r="977" spans="1:5" x14ac:dyDescent="0.25">
      <c r="A977" s="161" t="s">
        <v>635</v>
      </c>
      <c r="B977" s="170">
        <v>100</v>
      </c>
      <c r="C977" s="160" t="s">
        <v>8</v>
      </c>
      <c r="D977" s="160" t="s">
        <v>517</v>
      </c>
      <c r="E977" s="162">
        <v>45855</v>
      </c>
    </row>
    <row r="978" spans="1:5" x14ac:dyDescent="0.25">
      <c r="A978" s="163" t="s">
        <v>120</v>
      </c>
      <c r="B978" s="169">
        <v>39.119999999999997</v>
      </c>
      <c r="C978" s="165" t="s">
        <v>8</v>
      </c>
      <c r="D978" s="165" t="s">
        <v>31</v>
      </c>
      <c r="E978" s="164">
        <v>45855</v>
      </c>
    </row>
    <row r="979" spans="1:5" x14ac:dyDescent="0.25">
      <c r="A979" s="161" t="s">
        <v>637</v>
      </c>
      <c r="B979" s="170">
        <v>144.74666666666667</v>
      </c>
      <c r="C979" s="160" t="s">
        <v>8</v>
      </c>
      <c r="D979" s="160" t="s">
        <v>517</v>
      </c>
      <c r="E979" s="162">
        <v>45855</v>
      </c>
    </row>
    <row r="980" spans="1:5" x14ac:dyDescent="0.25">
      <c r="A980" s="163" t="s">
        <v>638</v>
      </c>
      <c r="B980" s="169">
        <v>174.9</v>
      </c>
      <c r="C980" s="165" t="s">
        <v>8</v>
      </c>
      <c r="D980" s="165" t="s">
        <v>61</v>
      </c>
      <c r="E980" s="164">
        <v>45855</v>
      </c>
    </row>
    <row r="981" spans="1:5" x14ac:dyDescent="0.25">
      <c r="A981" s="161" t="s">
        <v>650</v>
      </c>
      <c r="B981" s="170">
        <v>7.9</v>
      </c>
      <c r="C981" s="160" t="s">
        <v>8</v>
      </c>
      <c r="D981" s="160" t="s">
        <v>31</v>
      </c>
      <c r="E981" s="162">
        <v>45855</v>
      </c>
    </row>
    <row r="982" spans="1:5" x14ac:dyDescent="0.25">
      <c r="A982" s="163" t="s">
        <v>639</v>
      </c>
      <c r="B982" s="169">
        <v>26.89</v>
      </c>
      <c r="C982" s="165" t="s">
        <v>8</v>
      </c>
      <c r="D982" s="165" t="s">
        <v>16</v>
      </c>
      <c r="E982" s="164">
        <v>45856</v>
      </c>
    </row>
    <row r="983" spans="1:5" x14ac:dyDescent="0.25">
      <c r="A983" s="161" t="s">
        <v>640</v>
      </c>
      <c r="B983" s="170">
        <v>15.8</v>
      </c>
      <c r="C983" s="160" t="s">
        <v>8</v>
      </c>
      <c r="D983" s="160" t="s">
        <v>31</v>
      </c>
      <c r="E983" s="162">
        <v>45856</v>
      </c>
    </row>
    <row r="984" spans="1:5" x14ac:dyDescent="0.25">
      <c r="A984" s="163" t="s">
        <v>641</v>
      </c>
      <c r="B984" s="169">
        <v>79.989999999999995</v>
      </c>
      <c r="C984" s="165" t="s">
        <v>8</v>
      </c>
      <c r="D984" s="165" t="s">
        <v>11</v>
      </c>
      <c r="E984" s="164">
        <v>45856</v>
      </c>
    </row>
    <row r="985" spans="1:5" x14ac:dyDescent="0.25">
      <c r="A985" s="161" t="s">
        <v>642</v>
      </c>
      <c r="B985" s="170">
        <v>49.8</v>
      </c>
      <c r="C985" s="160" t="s">
        <v>8</v>
      </c>
      <c r="D985" s="160" t="s">
        <v>11</v>
      </c>
      <c r="E985" s="162">
        <v>45856</v>
      </c>
    </row>
    <row r="986" spans="1:5" x14ac:dyDescent="0.25">
      <c r="A986" s="163" t="s">
        <v>649</v>
      </c>
      <c r="B986" s="169">
        <v>411.48</v>
      </c>
      <c r="C986" s="165" t="s">
        <v>8</v>
      </c>
      <c r="D986" s="165" t="s">
        <v>118</v>
      </c>
      <c r="E986" s="164">
        <v>45856</v>
      </c>
    </row>
    <row r="987" spans="1:5" x14ac:dyDescent="0.25">
      <c r="A987" s="161" t="s">
        <v>120</v>
      </c>
      <c r="B987" s="170">
        <v>16.91</v>
      </c>
      <c r="C987" s="160" t="s">
        <v>8</v>
      </c>
      <c r="D987" s="160" t="s">
        <v>31</v>
      </c>
      <c r="E987" s="162">
        <v>45857</v>
      </c>
    </row>
    <row r="988" spans="1:5" x14ac:dyDescent="0.25">
      <c r="A988" s="163" t="s">
        <v>643</v>
      </c>
      <c r="B988" s="169">
        <v>44</v>
      </c>
      <c r="C988" s="165" t="s">
        <v>8</v>
      </c>
      <c r="D988" s="165" t="s">
        <v>36</v>
      </c>
      <c r="E988" s="164">
        <v>45857</v>
      </c>
    </row>
    <row r="989" spans="1:5" x14ac:dyDescent="0.25">
      <c r="A989" s="161" t="s">
        <v>120</v>
      </c>
      <c r="B989" s="170">
        <v>25.98</v>
      </c>
      <c r="C989" s="160" t="s">
        <v>8</v>
      </c>
      <c r="D989" s="160" t="s">
        <v>31</v>
      </c>
      <c r="E989" s="162">
        <v>45857</v>
      </c>
    </row>
    <row r="990" spans="1:5" x14ac:dyDescent="0.25">
      <c r="A990" s="163" t="s">
        <v>120</v>
      </c>
      <c r="B990" s="169">
        <v>9.9499999999999993</v>
      </c>
      <c r="C990" s="165" t="s">
        <v>8</v>
      </c>
      <c r="D990" s="165" t="s">
        <v>31</v>
      </c>
      <c r="E990" s="164">
        <v>45857</v>
      </c>
    </row>
    <row r="991" spans="1:5" x14ac:dyDescent="0.25">
      <c r="A991" s="161" t="s">
        <v>640</v>
      </c>
      <c r="B991" s="170">
        <v>15.8</v>
      </c>
      <c r="C991" s="160" t="s">
        <v>8</v>
      </c>
      <c r="D991" s="160" t="s">
        <v>31</v>
      </c>
      <c r="E991" s="162">
        <v>45857</v>
      </c>
    </row>
    <row r="992" spans="1:5" x14ac:dyDescent="0.25">
      <c r="A992" s="163" t="s">
        <v>644</v>
      </c>
      <c r="B992" s="169">
        <v>61.5</v>
      </c>
      <c r="C992" s="165" t="s">
        <v>8</v>
      </c>
      <c r="D992" s="165" t="s">
        <v>36</v>
      </c>
      <c r="E992" s="164">
        <v>45857</v>
      </c>
    </row>
    <row r="993" spans="1:5" x14ac:dyDescent="0.25">
      <c r="A993" s="161" t="s">
        <v>644</v>
      </c>
      <c r="B993" s="170">
        <v>9.5</v>
      </c>
      <c r="C993" s="160" t="s">
        <v>8</v>
      </c>
      <c r="D993" s="160" t="s">
        <v>36</v>
      </c>
      <c r="E993" s="162">
        <v>45857</v>
      </c>
    </row>
    <row r="994" spans="1:5" x14ac:dyDescent="0.25">
      <c r="A994" s="163" t="s">
        <v>511</v>
      </c>
      <c r="B994" s="169">
        <v>24.5</v>
      </c>
      <c r="C994" s="165" t="s">
        <v>8</v>
      </c>
      <c r="D994" s="165" t="s">
        <v>31</v>
      </c>
      <c r="E994" s="164">
        <v>45857</v>
      </c>
    </row>
    <row r="995" spans="1:5" x14ac:dyDescent="0.25">
      <c r="A995" s="161" t="s">
        <v>511</v>
      </c>
      <c r="B995" s="170">
        <v>32.659999999999997</v>
      </c>
      <c r="C995" s="160" t="s">
        <v>8</v>
      </c>
      <c r="D995" s="160" t="s">
        <v>31</v>
      </c>
      <c r="E995" s="162">
        <v>45857</v>
      </c>
    </row>
    <row r="996" spans="1:5" x14ac:dyDescent="0.25">
      <c r="A996" s="163" t="s">
        <v>511</v>
      </c>
      <c r="B996" s="169">
        <v>20.13</v>
      </c>
      <c r="C996" s="165" t="s">
        <v>8</v>
      </c>
      <c r="D996" s="165" t="s">
        <v>31</v>
      </c>
      <c r="E996" s="164">
        <v>45857</v>
      </c>
    </row>
    <row r="997" spans="1:5" x14ac:dyDescent="0.25">
      <c r="A997" s="161" t="s">
        <v>25</v>
      </c>
      <c r="B997" s="170">
        <v>149</v>
      </c>
      <c r="C997" s="160" t="s">
        <v>8</v>
      </c>
      <c r="D997" s="160" t="s">
        <v>26</v>
      </c>
      <c r="E997" s="162">
        <v>45857</v>
      </c>
    </row>
    <row r="998" spans="1:5" x14ac:dyDescent="0.25">
      <c r="A998" s="163" t="s">
        <v>651</v>
      </c>
      <c r="B998" s="169">
        <v>99.95</v>
      </c>
      <c r="C998" s="165" t="s">
        <v>8</v>
      </c>
      <c r="D998" s="165" t="s">
        <v>11</v>
      </c>
      <c r="E998" s="164">
        <v>45857</v>
      </c>
    </row>
    <row r="999" spans="1:5" x14ac:dyDescent="0.25">
      <c r="A999" s="161" t="s">
        <v>459</v>
      </c>
      <c r="B999" s="170">
        <v>20</v>
      </c>
      <c r="C999" s="160" t="s">
        <v>8</v>
      </c>
      <c r="D999" s="160" t="s">
        <v>36</v>
      </c>
      <c r="E999" s="162">
        <v>45858</v>
      </c>
    </row>
    <row r="1000" spans="1:5" x14ac:dyDescent="0.25">
      <c r="A1000" s="163" t="s">
        <v>645</v>
      </c>
      <c r="B1000" s="169">
        <v>46.62</v>
      </c>
      <c r="C1000" s="165" t="s">
        <v>8</v>
      </c>
      <c r="D1000" s="165" t="s">
        <v>16</v>
      </c>
      <c r="E1000" s="164">
        <v>45858</v>
      </c>
    </row>
    <row r="1001" spans="1:5" x14ac:dyDescent="0.25">
      <c r="A1001" s="161" t="s">
        <v>646</v>
      </c>
      <c r="B1001" s="170">
        <v>58.8</v>
      </c>
      <c r="C1001" s="160" t="s">
        <v>8</v>
      </c>
      <c r="D1001" s="160" t="s">
        <v>11</v>
      </c>
      <c r="E1001" s="162">
        <v>45858</v>
      </c>
    </row>
    <row r="1002" spans="1:5" x14ac:dyDescent="0.25">
      <c r="A1002" s="163" t="s">
        <v>511</v>
      </c>
      <c r="B1002" s="169">
        <v>8.8000000000000007</v>
      </c>
      <c r="C1002" s="165" t="s">
        <v>8</v>
      </c>
      <c r="D1002" s="165" t="s">
        <v>31</v>
      </c>
      <c r="E1002" s="164">
        <v>45858</v>
      </c>
    </row>
    <row r="1003" spans="1:5" x14ac:dyDescent="0.25">
      <c r="A1003" s="161" t="s">
        <v>511</v>
      </c>
      <c r="B1003" s="170">
        <v>20.6</v>
      </c>
      <c r="C1003" s="160" t="s">
        <v>8</v>
      </c>
      <c r="D1003" s="160" t="s">
        <v>31</v>
      </c>
      <c r="E1003" s="162">
        <v>45858</v>
      </c>
    </row>
    <row r="1004" spans="1:5" x14ac:dyDescent="0.25">
      <c r="A1004" s="163" t="s">
        <v>511</v>
      </c>
      <c r="B1004" s="169">
        <v>40.82</v>
      </c>
      <c r="C1004" s="165" t="s">
        <v>8</v>
      </c>
      <c r="D1004" s="165" t="s">
        <v>31</v>
      </c>
      <c r="E1004" s="164">
        <v>45858</v>
      </c>
    </row>
    <row r="1005" spans="1:5" x14ac:dyDescent="0.25">
      <c r="A1005" s="161" t="s">
        <v>647</v>
      </c>
      <c r="B1005" s="170">
        <v>6.9799999999999995</v>
      </c>
      <c r="C1005" s="160" t="s">
        <v>8</v>
      </c>
      <c r="D1005" s="160" t="s">
        <v>31</v>
      </c>
      <c r="E1005" s="162">
        <v>45859</v>
      </c>
    </row>
    <row r="1006" spans="1:5" x14ac:dyDescent="0.25">
      <c r="A1006" s="163" t="s">
        <v>648</v>
      </c>
      <c r="B1006" s="169">
        <v>70</v>
      </c>
      <c r="C1006" s="165" t="s">
        <v>8</v>
      </c>
      <c r="D1006" s="165" t="s">
        <v>14</v>
      </c>
      <c r="E1006" s="164">
        <v>45859</v>
      </c>
    </row>
    <row r="1007" spans="1:5" x14ac:dyDescent="0.25">
      <c r="A1007" s="161" t="s">
        <v>593</v>
      </c>
      <c r="B1007" s="170">
        <v>214.29</v>
      </c>
      <c r="C1007" s="160" t="s">
        <v>8</v>
      </c>
      <c r="D1007" s="160" t="s">
        <v>16</v>
      </c>
      <c r="E1007" s="162">
        <v>45860</v>
      </c>
    </row>
    <row r="1008" spans="1:5" x14ac:dyDescent="0.25">
      <c r="A1008" s="163" t="s">
        <v>652</v>
      </c>
      <c r="B1008" s="169">
        <v>44.5</v>
      </c>
      <c r="C1008" s="165" t="s">
        <v>8</v>
      </c>
      <c r="D1008" s="165" t="s">
        <v>11</v>
      </c>
      <c r="E1008" s="164">
        <v>45859</v>
      </c>
    </row>
    <row r="1009" spans="1:5" x14ac:dyDescent="0.25">
      <c r="A1009" s="161" t="s">
        <v>15</v>
      </c>
      <c r="B1009" s="170">
        <v>84.71</v>
      </c>
      <c r="C1009" s="160" t="s">
        <v>8</v>
      </c>
      <c r="D1009" s="160" t="s">
        <v>16</v>
      </c>
      <c r="E1009" s="162">
        <v>45860</v>
      </c>
    </row>
    <row r="1010" spans="1:5" x14ac:dyDescent="0.25">
      <c r="A1010" s="163" t="s">
        <v>660</v>
      </c>
      <c r="B1010" s="169">
        <v>66.239999999999995</v>
      </c>
      <c r="C1010" s="165" t="s">
        <v>8</v>
      </c>
      <c r="D1010" s="165" t="s">
        <v>36</v>
      </c>
      <c r="E1010" s="164">
        <v>45860</v>
      </c>
    </row>
    <row r="1011" spans="1:5" x14ac:dyDescent="0.25">
      <c r="A1011" s="161" t="s">
        <v>378</v>
      </c>
      <c r="B1011" s="170">
        <v>32</v>
      </c>
      <c r="C1011" s="160" t="s">
        <v>8</v>
      </c>
      <c r="D1011" s="160" t="s">
        <v>31</v>
      </c>
      <c r="E1011" s="162">
        <v>45861</v>
      </c>
    </row>
    <row r="1012" spans="1:5" x14ac:dyDescent="0.25">
      <c r="A1012" s="163" t="s">
        <v>371</v>
      </c>
      <c r="B1012" s="169">
        <v>71.790000000000006</v>
      </c>
      <c r="C1012" s="165" t="s">
        <v>8</v>
      </c>
      <c r="D1012" s="165" t="s">
        <v>14</v>
      </c>
      <c r="E1012" s="164">
        <v>45861</v>
      </c>
    </row>
    <row r="1013" spans="1:5" x14ac:dyDescent="0.25">
      <c r="A1013" s="161" t="s">
        <v>371</v>
      </c>
      <c r="B1013" s="170">
        <v>86.46</v>
      </c>
      <c r="C1013" s="160" t="s">
        <v>8</v>
      </c>
      <c r="D1013" s="160" t="s">
        <v>14</v>
      </c>
      <c r="E1013" s="162">
        <v>45862</v>
      </c>
    </row>
    <row r="1014" spans="1:5" x14ac:dyDescent="0.25">
      <c r="A1014" s="163" t="s">
        <v>593</v>
      </c>
      <c r="B1014" s="169">
        <v>43.72</v>
      </c>
      <c r="C1014" s="165" t="s">
        <v>8</v>
      </c>
      <c r="D1014" s="165" t="s">
        <v>16</v>
      </c>
      <c r="E1014" s="164">
        <v>45862</v>
      </c>
    </row>
    <row r="1015" spans="1:5" x14ac:dyDescent="0.25">
      <c r="A1015" s="161" t="s">
        <v>653</v>
      </c>
      <c r="B1015" s="170">
        <v>61.666666666666664</v>
      </c>
      <c r="C1015" s="160" t="s">
        <v>8</v>
      </c>
      <c r="D1015" s="160" t="s">
        <v>16</v>
      </c>
      <c r="E1015" s="162">
        <v>45863</v>
      </c>
    </row>
    <row r="1016" spans="1:5" x14ac:dyDescent="0.25">
      <c r="A1016" s="163" t="s">
        <v>593</v>
      </c>
      <c r="B1016" s="169">
        <v>209.03</v>
      </c>
      <c r="C1016" s="165" t="s">
        <v>8</v>
      </c>
      <c r="D1016" s="165" t="s">
        <v>16</v>
      </c>
      <c r="E1016" s="164">
        <v>45863</v>
      </c>
    </row>
    <row r="1017" spans="1:5" x14ac:dyDescent="0.25">
      <c r="A1017" s="161" t="s">
        <v>378</v>
      </c>
      <c r="B1017" s="170">
        <v>16</v>
      </c>
      <c r="C1017" s="160" t="s">
        <v>8</v>
      </c>
      <c r="D1017" s="160" t="s">
        <v>31</v>
      </c>
      <c r="E1017" s="162">
        <v>45863</v>
      </c>
    </row>
    <row r="1018" spans="1:5" x14ac:dyDescent="0.25">
      <c r="A1018" s="163" t="s">
        <v>371</v>
      </c>
      <c r="B1018" s="169">
        <v>82.02</v>
      </c>
      <c r="C1018" s="165" t="s">
        <v>8</v>
      </c>
      <c r="D1018" s="165" t="s">
        <v>14</v>
      </c>
      <c r="E1018" s="164">
        <v>45863</v>
      </c>
    </row>
    <row r="1019" spans="1:5" x14ac:dyDescent="0.25">
      <c r="A1019" s="161" t="s">
        <v>593</v>
      </c>
      <c r="B1019" s="170">
        <v>60.09</v>
      </c>
      <c r="C1019" s="160" t="s">
        <v>8</v>
      </c>
      <c r="D1019" s="160" t="s">
        <v>16</v>
      </c>
      <c r="E1019" s="162">
        <v>45863</v>
      </c>
    </row>
    <row r="1020" spans="1:5" x14ac:dyDescent="0.25">
      <c r="A1020" s="163" t="s">
        <v>661</v>
      </c>
      <c r="B1020" s="169">
        <v>48.82</v>
      </c>
      <c r="C1020" s="165" t="s">
        <v>8</v>
      </c>
      <c r="D1020" s="165" t="s">
        <v>11</v>
      </c>
      <c r="E1020" s="164">
        <v>45863</v>
      </c>
    </row>
    <row r="1021" spans="1:5" x14ac:dyDescent="0.25">
      <c r="A1021" s="161" t="s">
        <v>662</v>
      </c>
      <c r="B1021" s="170">
        <v>61.43</v>
      </c>
      <c r="C1021" s="160" t="s">
        <v>8</v>
      </c>
      <c r="D1021" s="160" t="s">
        <v>70</v>
      </c>
      <c r="E1021" s="162">
        <v>45864</v>
      </c>
    </row>
    <row r="1022" spans="1:5" x14ac:dyDescent="0.25">
      <c r="A1022" s="163" t="s">
        <v>654</v>
      </c>
      <c r="B1022" s="169">
        <v>52.050000000000004</v>
      </c>
      <c r="C1022" s="165" t="s">
        <v>8</v>
      </c>
      <c r="D1022" s="165" t="s">
        <v>70</v>
      </c>
      <c r="E1022" s="164">
        <v>45864</v>
      </c>
    </row>
    <row r="1023" spans="1:5" x14ac:dyDescent="0.25">
      <c r="A1023" s="161" t="s">
        <v>655</v>
      </c>
      <c r="B1023" s="170">
        <v>37.200000000000003</v>
      </c>
      <c r="C1023" s="160" t="s">
        <v>8</v>
      </c>
      <c r="D1023" s="160" t="s">
        <v>36</v>
      </c>
      <c r="E1023" s="162">
        <v>45864</v>
      </c>
    </row>
    <row r="1024" spans="1:5" x14ac:dyDescent="0.25">
      <c r="A1024" s="163" t="s">
        <v>656</v>
      </c>
      <c r="B1024" s="169">
        <v>157.25</v>
      </c>
      <c r="C1024" s="165" t="s">
        <v>8</v>
      </c>
      <c r="D1024" s="165" t="s">
        <v>70</v>
      </c>
      <c r="E1024" s="164">
        <v>45864</v>
      </c>
    </row>
    <row r="1025" spans="1:5" x14ac:dyDescent="0.25">
      <c r="A1025" s="161" t="s">
        <v>593</v>
      </c>
      <c r="B1025" s="170">
        <v>349.29</v>
      </c>
      <c r="C1025" s="160" t="s">
        <v>8</v>
      </c>
      <c r="D1025" s="160" t="s">
        <v>16</v>
      </c>
      <c r="E1025" s="162">
        <v>45864</v>
      </c>
    </row>
    <row r="1026" spans="1:5" x14ac:dyDescent="0.25">
      <c r="A1026" s="163" t="s">
        <v>371</v>
      </c>
      <c r="B1026" s="169">
        <v>15.58</v>
      </c>
      <c r="C1026" s="165" t="s">
        <v>8</v>
      </c>
      <c r="D1026" s="165" t="s">
        <v>14</v>
      </c>
      <c r="E1026" s="164">
        <v>45864</v>
      </c>
    </row>
    <row r="1027" spans="1:5" x14ac:dyDescent="0.25">
      <c r="A1027" s="161" t="s">
        <v>281</v>
      </c>
      <c r="B1027" s="170">
        <v>102.81</v>
      </c>
      <c r="C1027" s="160" t="s">
        <v>8</v>
      </c>
      <c r="D1027" s="160" t="s">
        <v>36</v>
      </c>
      <c r="E1027" s="162">
        <v>45864</v>
      </c>
    </row>
    <row r="1028" spans="1:5" x14ac:dyDescent="0.25">
      <c r="A1028" s="163" t="s">
        <v>657</v>
      </c>
      <c r="B1028" s="169">
        <v>162.37</v>
      </c>
      <c r="C1028" s="165" t="s">
        <v>8</v>
      </c>
      <c r="D1028" s="165" t="s">
        <v>70</v>
      </c>
      <c r="E1028" s="164">
        <v>45865</v>
      </c>
    </row>
    <row r="1029" spans="1:5" x14ac:dyDescent="0.25">
      <c r="A1029" s="161" t="s">
        <v>43</v>
      </c>
      <c r="B1029" s="170">
        <v>161.91</v>
      </c>
      <c r="C1029" s="160" t="s">
        <v>8</v>
      </c>
      <c r="D1029" s="160" t="s">
        <v>31</v>
      </c>
      <c r="E1029" s="162">
        <v>45865</v>
      </c>
    </row>
    <row r="1030" spans="1:5" x14ac:dyDescent="0.25">
      <c r="A1030" s="163" t="s">
        <v>430</v>
      </c>
      <c r="B1030" s="169">
        <v>50</v>
      </c>
      <c r="C1030" s="165" t="s">
        <v>8</v>
      </c>
      <c r="D1030" s="165" t="s">
        <v>31</v>
      </c>
      <c r="E1030" s="164">
        <v>45865</v>
      </c>
    </row>
    <row r="1031" spans="1:5" x14ac:dyDescent="0.25">
      <c r="A1031" s="161" t="s">
        <v>658</v>
      </c>
      <c r="B1031" s="170">
        <v>161.69</v>
      </c>
      <c r="C1031" s="160" t="s">
        <v>8</v>
      </c>
      <c r="D1031" s="160" t="s">
        <v>517</v>
      </c>
      <c r="E1031" s="162">
        <v>45865</v>
      </c>
    </row>
    <row r="1032" spans="1:5" x14ac:dyDescent="0.25">
      <c r="A1032" s="163" t="s">
        <v>658</v>
      </c>
      <c r="B1032" s="169">
        <v>31.94</v>
      </c>
      <c r="C1032" s="165" t="s">
        <v>8</v>
      </c>
      <c r="D1032" s="165" t="s">
        <v>517</v>
      </c>
      <c r="E1032" s="164">
        <v>45865</v>
      </c>
    </row>
    <row r="1033" spans="1:5" x14ac:dyDescent="0.25">
      <c r="A1033" s="161" t="s">
        <v>659</v>
      </c>
      <c r="B1033" s="170">
        <v>39.99</v>
      </c>
      <c r="C1033" s="160" t="s">
        <v>8</v>
      </c>
      <c r="D1033" s="160" t="s">
        <v>11</v>
      </c>
      <c r="E1033" s="162">
        <v>45865</v>
      </c>
    </row>
    <row r="1034" spans="1:5" x14ac:dyDescent="0.25">
      <c r="A1034" s="163" t="s">
        <v>650</v>
      </c>
      <c r="B1034" s="169">
        <v>7.9</v>
      </c>
      <c r="C1034" s="165" t="s">
        <v>8</v>
      </c>
      <c r="D1034" s="165" t="s">
        <v>31</v>
      </c>
      <c r="E1034" s="164">
        <v>45866</v>
      </c>
    </row>
    <row r="1035" spans="1:5" x14ac:dyDescent="0.25">
      <c r="A1035" s="171" t="s">
        <v>663</v>
      </c>
      <c r="B1035">
        <v>2500</v>
      </c>
      <c r="C1035" t="s">
        <v>72</v>
      </c>
      <c r="D1035" s="171" t="s">
        <v>739</v>
      </c>
      <c r="E1035" s="178">
        <v>45659</v>
      </c>
    </row>
    <row r="1036" spans="1:5" x14ac:dyDescent="0.25">
      <c r="A1036" s="172" t="s">
        <v>664</v>
      </c>
      <c r="B1036">
        <v>3037.43</v>
      </c>
      <c r="C1036" t="s">
        <v>8</v>
      </c>
      <c r="D1036" s="172" t="s">
        <v>108</v>
      </c>
      <c r="E1036" s="179">
        <v>45659</v>
      </c>
    </row>
    <row r="1037" spans="1:5" x14ac:dyDescent="0.25">
      <c r="A1037" s="173" t="s">
        <v>613</v>
      </c>
      <c r="B1037">
        <v>12</v>
      </c>
      <c r="C1037" t="s">
        <v>8</v>
      </c>
      <c r="D1037" s="173" t="s">
        <v>14</v>
      </c>
      <c r="E1037" s="180">
        <v>45660</v>
      </c>
    </row>
    <row r="1038" spans="1:5" x14ac:dyDescent="0.25">
      <c r="A1038" s="172" t="s">
        <v>665</v>
      </c>
      <c r="B1038">
        <v>116</v>
      </c>
      <c r="C1038" t="s">
        <v>8</v>
      </c>
      <c r="D1038" s="172" t="s">
        <v>14</v>
      </c>
      <c r="E1038" s="179">
        <v>45665</v>
      </c>
    </row>
    <row r="1039" spans="1:5" x14ac:dyDescent="0.25">
      <c r="A1039" s="173" t="s">
        <v>666</v>
      </c>
      <c r="B1039">
        <v>0</v>
      </c>
      <c r="C1039" t="s">
        <v>8</v>
      </c>
      <c r="D1039" s="173" t="s">
        <v>14</v>
      </c>
      <c r="E1039" s="180">
        <v>45665</v>
      </c>
    </row>
    <row r="1040" spans="1:5" x14ac:dyDescent="0.25">
      <c r="A1040" s="172" t="s">
        <v>667</v>
      </c>
      <c r="B1040">
        <v>599</v>
      </c>
      <c r="C1040" t="s">
        <v>8</v>
      </c>
      <c r="D1040" s="172" t="s">
        <v>22</v>
      </c>
      <c r="E1040" s="179">
        <v>45665</v>
      </c>
    </row>
    <row r="1041" spans="1:5" x14ac:dyDescent="0.25">
      <c r="A1041" s="173" t="s">
        <v>668</v>
      </c>
      <c r="B1041">
        <v>44</v>
      </c>
      <c r="C1041" t="s">
        <v>8</v>
      </c>
      <c r="D1041" s="173" t="s">
        <v>14</v>
      </c>
      <c r="E1041" s="180">
        <v>45666</v>
      </c>
    </row>
    <row r="1042" spans="1:5" x14ac:dyDescent="0.25">
      <c r="A1042" s="172" t="s">
        <v>669</v>
      </c>
      <c r="B1042">
        <v>36</v>
      </c>
      <c r="C1042" t="s">
        <v>8</v>
      </c>
      <c r="D1042" s="172" t="s">
        <v>14</v>
      </c>
      <c r="E1042" s="179">
        <v>45666</v>
      </c>
    </row>
    <row r="1043" spans="1:5" x14ac:dyDescent="0.25">
      <c r="A1043" s="173" t="s">
        <v>670</v>
      </c>
      <c r="B1043">
        <v>3500</v>
      </c>
      <c r="C1043" t="s">
        <v>8</v>
      </c>
      <c r="D1043" s="173" t="s">
        <v>739</v>
      </c>
      <c r="E1043" s="180">
        <v>45666</v>
      </c>
    </row>
    <row r="1044" spans="1:5" x14ac:dyDescent="0.25">
      <c r="A1044" s="172" t="s">
        <v>671</v>
      </c>
      <c r="B1044">
        <v>2000</v>
      </c>
      <c r="C1044" t="s">
        <v>72</v>
      </c>
      <c r="D1044" s="172" t="s">
        <v>739</v>
      </c>
      <c r="E1044" s="179">
        <v>45670</v>
      </c>
    </row>
    <row r="1045" spans="1:5" x14ac:dyDescent="0.25">
      <c r="A1045" s="173" t="s">
        <v>669</v>
      </c>
      <c r="B1045">
        <v>36</v>
      </c>
      <c r="C1045" t="s">
        <v>8</v>
      </c>
      <c r="D1045" s="173" t="s">
        <v>14</v>
      </c>
      <c r="E1045" s="180">
        <v>45671</v>
      </c>
    </row>
    <row r="1046" spans="1:5" x14ac:dyDescent="0.25">
      <c r="A1046" s="172" t="s">
        <v>668</v>
      </c>
      <c r="B1046">
        <v>44</v>
      </c>
      <c r="C1046" t="s">
        <v>8</v>
      </c>
      <c r="D1046" s="172" t="s">
        <v>14</v>
      </c>
      <c r="E1046" s="179">
        <v>45672</v>
      </c>
    </row>
    <row r="1047" spans="1:5" x14ac:dyDescent="0.25">
      <c r="A1047" s="173" t="s">
        <v>672</v>
      </c>
      <c r="B1047">
        <v>750</v>
      </c>
      <c r="C1047" t="s">
        <v>8</v>
      </c>
      <c r="D1047" s="173" t="s">
        <v>14</v>
      </c>
      <c r="E1047" s="180">
        <v>45672</v>
      </c>
    </row>
    <row r="1048" spans="1:5" x14ac:dyDescent="0.25">
      <c r="A1048" s="172" t="s">
        <v>673</v>
      </c>
      <c r="B1048">
        <v>569.23</v>
      </c>
      <c r="C1048" t="s">
        <v>8</v>
      </c>
      <c r="D1048" s="172" t="s">
        <v>739</v>
      </c>
      <c r="E1048" s="179">
        <v>45672</v>
      </c>
    </row>
    <row r="1049" spans="1:5" x14ac:dyDescent="0.25">
      <c r="A1049" s="173" t="s">
        <v>674</v>
      </c>
      <c r="B1049">
        <v>4104</v>
      </c>
      <c r="C1049" t="s">
        <v>8</v>
      </c>
      <c r="D1049" s="173" t="s">
        <v>108</v>
      </c>
      <c r="E1049" s="180">
        <v>45672</v>
      </c>
    </row>
    <row r="1050" spans="1:5" x14ac:dyDescent="0.25">
      <c r="A1050" s="172" t="s">
        <v>675</v>
      </c>
      <c r="B1050">
        <v>75.900000000000091</v>
      </c>
      <c r="C1050" t="s">
        <v>8</v>
      </c>
      <c r="D1050" s="172" t="s">
        <v>14</v>
      </c>
      <c r="E1050" s="179">
        <v>45675</v>
      </c>
    </row>
    <row r="1051" spans="1:5" x14ac:dyDescent="0.25">
      <c r="A1051" s="173" t="s">
        <v>676</v>
      </c>
      <c r="B1051">
        <v>3000</v>
      </c>
      <c r="C1051" t="s">
        <v>8</v>
      </c>
      <c r="D1051" s="173" t="s">
        <v>119</v>
      </c>
      <c r="E1051" s="180">
        <v>45677</v>
      </c>
    </row>
    <row r="1052" spans="1:5" x14ac:dyDescent="0.25">
      <c r="A1052" s="172" t="s">
        <v>648</v>
      </c>
      <c r="B1052">
        <v>68</v>
      </c>
      <c r="C1052" t="s">
        <v>8</v>
      </c>
      <c r="D1052" s="172" t="s">
        <v>14</v>
      </c>
      <c r="E1052" s="179">
        <v>45678</v>
      </c>
    </row>
    <row r="1053" spans="1:5" x14ac:dyDescent="0.25">
      <c r="A1053" s="173" t="s">
        <v>665</v>
      </c>
      <c r="B1053">
        <v>9.9999999999909051E-3</v>
      </c>
      <c r="C1053" t="s">
        <v>72</v>
      </c>
      <c r="D1053" s="173" t="s">
        <v>14</v>
      </c>
      <c r="E1053" s="180">
        <v>45679</v>
      </c>
    </row>
    <row r="1054" spans="1:5" x14ac:dyDescent="0.25">
      <c r="A1054" s="172" t="s">
        <v>668</v>
      </c>
      <c r="B1054">
        <v>44</v>
      </c>
      <c r="C1054" t="s">
        <v>8</v>
      </c>
      <c r="D1054" s="172" t="s">
        <v>14</v>
      </c>
      <c r="E1054" s="179">
        <v>45680</v>
      </c>
    </row>
    <row r="1055" spans="1:5" x14ac:dyDescent="0.25">
      <c r="A1055" s="173" t="s">
        <v>677</v>
      </c>
      <c r="B1055">
        <v>75.980000000000018</v>
      </c>
      <c r="C1055" t="s">
        <v>8</v>
      </c>
      <c r="D1055" s="173" t="s">
        <v>14</v>
      </c>
      <c r="E1055" s="180">
        <v>45685</v>
      </c>
    </row>
    <row r="1056" spans="1:5" x14ac:dyDescent="0.25">
      <c r="A1056" s="172" t="s">
        <v>678</v>
      </c>
      <c r="B1056">
        <v>90.94</v>
      </c>
      <c r="C1056" t="s">
        <v>8</v>
      </c>
      <c r="D1056" s="172" t="s">
        <v>108</v>
      </c>
      <c r="E1056" s="179">
        <v>45686</v>
      </c>
    </row>
    <row r="1057" spans="1:5" x14ac:dyDescent="0.25">
      <c r="A1057" s="173" t="s">
        <v>668</v>
      </c>
      <c r="B1057">
        <v>44</v>
      </c>
      <c r="C1057" t="s">
        <v>8</v>
      </c>
      <c r="D1057" s="173" t="s">
        <v>14</v>
      </c>
      <c r="E1057" s="180">
        <v>45686</v>
      </c>
    </row>
    <row r="1058" spans="1:5" x14ac:dyDescent="0.25">
      <c r="A1058" s="174" t="s">
        <v>679</v>
      </c>
      <c r="B1058">
        <v>399.9</v>
      </c>
      <c r="C1058" t="s">
        <v>8</v>
      </c>
      <c r="D1058" s="172" t="s">
        <v>22</v>
      </c>
      <c r="E1058" s="179">
        <v>45688</v>
      </c>
    </row>
    <row r="1059" spans="1:5" x14ac:dyDescent="0.25">
      <c r="A1059" s="175" t="s">
        <v>680</v>
      </c>
      <c r="B1059">
        <v>389</v>
      </c>
      <c r="C1059" t="s">
        <v>8</v>
      </c>
      <c r="D1059" s="173" t="s">
        <v>119</v>
      </c>
      <c r="E1059" s="180">
        <v>45688</v>
      </c>
    </row>
    <row r="1060" spans="1:5" x14ac:dyDescent="0.25">
      <c r="A1060" s="174" t="s">
        <v>681</v>
      </c>
      <c r="B1060">
        <v>1000</v>
      </c>
      <c r="C1060" t="s">
        <v>8</v>
      </c>
      <c r="D1060" s="172" t="s">
        <v>119</v>
      </c>
      <c r="E1060" s="179">
        <v>45688</v>
      </c>
    </row>
    <row r="1061" spans="1:5" x14ac:dyDescent="0.25">
      <c r="A1061" s="175" t="s">
        <v>682</v>
      </c>
      <c r="B1061">
        <v>4000</v>
      </c>
      <c r="C1061" t="s">
        <v>8</v>
      </c>
      <c r="D1061" s="173" t="s">
        <v>119</v>
      </c>
      <c r="E1061" s="180">
        <v>45688</v>
      </c>
    </row>
    <row r="1062" spans="1:5" x14ac:dyDescent="0.25">
      <c r="A1062" s="174" t="s">
        <v>613</v>
      </c>
      <c r="B1062">
        <v>12</v>
      </c>
      <c r="C1062" t="s">
        <v>8</v>
      </c>
      <c r="D1062" s="172" t="s">
        <v>14</v>
      </c>
      <c r="E1062" s="179">
        <v>45690</v>
      </c>
    </row>
    <row r="1063" spans="1:5" x14ac:dyDescent="0.25">
      <c r="A1063" s="175" t="s">
        <v>682</v>
      </c>
      <c r="B1063">
        <v>1950</v>
      </c>
      <c r="C1063" t="s">
        <v>8</v>
      </c>
      <c r="D1063" s="173" t="s">
        <v>119</v>
      </c>
      <c r="E1063" s="180">
        <v>45692</v>
      </c>
    </row>
    <row r="1064" spans="1:5" x14ac:dyDescent="0.25">
      <c r="A1064" s="174" t="s">
        <v>665</v>
      </c>
      <c r="B1064">
        <v>1.999999999998181E-2</v>
      </c>
      <c r="C1064" t="s">
        <v>8</v>
      </c>
      <c r="D1064" s="172" t="s">
        <v>14</v>
      </c>
      <c r="E1064" s="179">
        <v>45693</v>
      </c>
    </row>
    <row r="1065" spans="1:5" x14ac:dyDescent="0.25">
      <c r="A1065" s="175" t="s">
        <v>683</v>
      </c>
      <c r="B1065">
        <v>149.9</v>
      </c>
      <c r="C1065" t="s">
        <v>8</v>
      </c>
      <c r="D1065" s="173" t="s">
        <v>11</v>
      </c>
      <c r="E1065" s="180">
        <v>45693</v>
      </c>
    </row>
    <row r="1066" spans="1:5" x14ac:dyDescent="0.25">
      <c r="A1066" s="174" t="s">
        <v>684</v>
      </c>
      <c r="B1066">
        <v>543.39</v>
      </c>
      <c r="C1066" t="s">
        <v>8</v>
      </c>
      <c r="D1066" s="172" t="s">
        <v>22</v>
      </c>
      <c r="E1066" s="179">
        <v>45695</v>
      </c>
    </row>
    <row r="1067" spans="1:5" x14ac:dyDescent="0.25">
      <c r="A1067" s="173" t="s">
        <v>685</v>
      </c>
      <c r="B1067">
        <v>400</v>
      </c>
      <c r="C1067" t="s">
        <v>8</v>
      </c>
      <c r="D1067" s="173" t="s">
        <v>22</v>
      </c>
      <c r="E1067" s="180">
        <v>45695</v>
      </c>
    </row>
    <row r="1068" spans="1:5" x14ac:dyDescent="0.25">
      <c r="A1068" s="174" t="s">
        <v>663</v>
      </c>
      <c r="B1068">
        <v>2500</v>
      </c>
      <c r="C1068" t="s">
        <v>72</v>
      </c>
      <c r="D1068" s="172" t="s">
        <v>739</v>
      </c>
      <c r="E1068" s="179">
        <v>45696</v>
      </c>
    </row>
    <row r="1069" spans="1:5" x14ac:dyDescent="0.25">
      <c r="A1069" s="173" t="s">
        <v>670</v>
      </c>
      <c r="B1069">
        <v>3500</v>
      </c>
      <c r="C1069" t="s">
        <v>8</v>
      </c>
      <c r="D1069" s="173" t="s">
        <v>739</v>
      </c>
      <c r="E1069" s="180">
        <v>45698</v>
      </c>
    </row>
    <row r="1070" spans="1:5" x14ac:dyDescent="0.25">
      <c r="A1070" s="172" t="s">
        <v>686</v>
      </c>
      <c r="B1070">
        <v>136</v>
      </c>
      <c r="C1070" t="s">
        <v>8</v>
      </c>
      <c r="D1070" s="172" t="s">
        <v>14</v>
      </c>
      <c r="E1070" s="179">
        <v>45698</v>
      </c>
    </row>
    <row r="1071" spans="1:5" x14ac:dyDescent="0.25">
      <c r="A1071" s="175" t="s">
        <v>668</v>
      </c>
      <c r="B1071">
        <v>44</v>
      </c>
      <c r="C1071" t="s">
        <v>8</v>
      </c>
      <c r="D1071" s="173" t="s">
        <v>14</v>
      </c>
      <c r="E1071" s="180">
        <v>45700</v>
      </c>
    </row>
    <row r="1072" spans="1:5" x14ac:dyDescent="0.25">
      <c r="A1072" s="172" t="s">
        <v>687</v>
      </c>
      <c r="B1072">
        <v>132</v>
      </c>
      <c r="C1072" t="s">
        <v>8</v>
      </c>
      <c r="D1072" s="172" t="s">
        <v>14</v>
      </c>
      <c r="E1072" s="179">
        <v>45702</v>
      </c>
    </row>
    <row r="1073" spans="1:5" x14ac:dyDescent="0.25">
      <c r="A1073" s="173" t="s">
        <v>688</v>
      </c>
      <c r="B1073">
        <v>19.319999999999936</v>
      </c>
      <c r="C1073" t="s">
        <v>72</v>
      </c>
      <c r="D1073" s="173" t="s">
        <v>14</v>
      </c>
      <c r="E1073" s="180">
        <v>45703</v>
      </c>
    </row>
    <row r="1074" spans="1:5" x14ac:dyDescent="0.25">
      <c r="A1074" s="172" t="s">
        <v>689</v>
      </c>
      <c r="B1074">
        <v>50.75</v>
      </c>
      <c r="C1074" t="s">
        <v>8</v>
      </c>
      <c r="D1074" s="172" t="s">
        <v>14</v>
      </c>
      <c r="E1074" s="179">
        <v>45705</v>
      </c>
    </row>
    <row r="1075" spans="1:5" x14ac:dyDescent="0.25">
      <c r="A1075" s="173" t="s">
        <v>690</v>
      </c>
      <c r="B1075">
        <v>116</v>
      </c>
      <c r="C1075" t="s">
        <v>8</v>
      </c>
      <c r="D1075" s="173" t="s">
        <v>14</v>
      </c>
      <c r="E1075" s="180">
        <v>45707</v>
      </c>
    </row>
    <row r="1076" spans="1:5" x14ac:dyDescent="0.25">
      <c r="A1076" s="172" t="s">
        <v>691</v>
      </c>
      <c r="B1076">
        <v>0</v>
      </c>
      <c r="C1076" t="s">
        <v>8</v>
      </c>
      <c r="D1076" s="172" t="s">
        <v>14</v>
      </c>
      <c r="E1076" s="179">
        <v>45707</v>
      </c>
    </row>
    <row r="1077" spans="1:5" x14ac:dyDescent="0.25">
      <c r="A1077" s="173" t="s">
        <v>692</v>
      </c>
      <c r="B1077">
        <v>50</v>
      </c>
      <c r="C1077" t="s">
        <v>8</v>
      </c>
      <c r="D1077" s="173" t="s">
        <v>14</v>
      </c>
      <c r="E1077" s="180">
        <v>45707</v>
      </c>
    </row>
    <row r="1078" spans="1:5" x14ac:dyDescent="0.25">
      <c r="A1078" s="172" t="s">
        <v>648</v>
      </c>
      <c r="B1078">
        <v>14</v>
      </c>
      <c r="C1078" t="s">
        <v>8</v>
      </c>
      <c r="D1078" s="172" t="s">
        <v>14</v>
      </c>
      <c r="E1078" s="179">
        <v>45709</v>
      </c>
    </row>
    <row r="1079" spans="1:5" x14ac:dyDescent="0.25">
      <c r="A1079" s="173" t="s">
        <v>689</v>
      </c>
      <c r="B1079">
        <v>50.75</v>
      </c>
      <c r="C1079" t="s">
        <v>8</v>
      </c>
      <c r="D1079" s="173" t="s">
        <v>14</v>
      </c>
      <c r="E1079" s="180">
        <v>45712</v>
      </c>
    </row>
    <row r="1080" spans="1:5" x14ac:dyDescent="0.25">
      <c r="A1080" s="172" t="s">
        <v>693</v>
      </c>
      <c r="B1080">
        <v>4590</v>
      </c>
      <c r="C1080" t="s">
        <v>8</v>
      </c>
      <c r="D1080" s="172" t="s">
        <v>739</v>
      </c>
      <c r="E1080" s="179">
        <v>45712</v>
      </c>
    </row>
    <row r="1081" spans="1:5" x14ac:dyDescent="0.25">
      <c r="A1081" s="173" t="s">
        <v>694</v>
      </c>
      <c r="B1081">
        <v>44</v>
      </c>
      <c r="C1081" t="s">
        <v>8</v>
      </c>
      <c r="D1081" s="173" t="s">
        <v>14</v>
      </c>
      <c r="E1081" s="180">
        <v>45713</v>
      </c>
    </row>
    <row r="1082" spans="1:5" x14ac:dyDescent="0.25">
      <c r="A1082" s="172" t="s">
        <v>695</v>
      </c>
      <c r="B1082">
        <v>44</v>
      </c>
      <c r="C1082" t="s">
        <v>8</v>
      </c>
      <c r="D1082" s="172" t="s">
        <v>14</v>
      </c>
      <c r="E1082" s="179">
        <v>45715</v>
      </c>
    </row>
    <row r="1083" spans="1:5" x14ac:dyDescent="0.25">
      <c r="A1083" s="173" t="s">
        <v>696</v>
      </c>
      <c r="B1083">
        <v>220</v>
      </c>
      <c r="C1083" t="s">
        <v>8</v>
      </c>
      <c r="D1083" s="173" t="s">
        <v>14</v>
      </c>
      <c r="E1083" s="180">
        <v>45715</v>
      </c>
    </row>
    <row r="1084" spans="1:5" x14ac:dyDescent="0.25">
      <c r="A1084" s="174" t="s">
        <v>681</v>
      </c>
      <c r="B1084">
        <v>1000</v>
      </c>
      <c r="C1084" t="s">
        <v>8</v>
      </c>
      <c r="D1084" s="172" t="s">
        <v>119</v>
      </c>
      <c r="E1084" s="179">
        <v>45716</v>
      </c>
    </row>
    <row r="1085" spans="1:5" x14ac:dyDescent="0.25">
      <c r="A1085" s="176" t="s">
        <v>697</v>
      </c>
      <c r="B1085">
        <v>4000</v>
      </c>
      <c r="C1085" t="s">
        <v>8</v>
      </c>
      <c r="D1085" s="173" t="s">
        <v>119</v>
      </c>
      <c r="E1085" s="180">
        <v>45716</v>
      </c>
    </row>
    <row r="1086" spans="1:5" x14ac:dyDescent="0.25">
      <c r="A1086" s="174" t="s">
        <v>680</v>
      </c>
      <c r="B1086">
        <v>389</v>
      </c>
      <c r="C1086" t="s">
        <v>8</v>
      </c>
      <c r="D1086" s="172" t="s">
        <v>119</v>
      </c>
      <c r="E1086" s="179">
        <v>45716</v>
      </c>
    </row>
    <row r="1087" spans="1:5" x14ac:dyDescent="0.25">
      <c r="A1087" s="175" t="s">
        <v>613</v>
      </c>
      <c r="B1087">
        <v>12</v>
      </c>
      <c r="C1087" t="s">
        <v>8</v>
      </c>
      <c r="D1087" s="173" t="s">
        <v>14</v>
      </c>
      <c r="E1087" s="180">
        <v>45718</v>
      </c>
    </row>
    <row r="1088" spans="1:5" x14ac:dyDescent="0.25">
      <c r="A1088" s="174" t="s">
        <v>690</v>
      </c>
      <c r="B1088">
        <v>20</v>
      </c>
      <c r="C1088" t="s">
        <v>8</v>
      </c>
      <c r="D1088" s="172" t="s">
        <v>14</v>
      </c>
      <c r="E1088" s="179">
        <v>45722</v>
      </c>
    </row>
    <row r="1089" spans="1:5" x14ac:dyDescent="0.25">
      <c r="A1089" s="175" t="s">
        <v>687</v>
      </c>
      <c r="B1089">
        <v>220</v>
      </c>
      <c r="C1089" t="s">
        <v>8</v>
      </c>
      <c r="D1089" s="173" t="s">
        <v>14</v>
      </c>
      <c r="E1089" s="180">
        <v>45723</v>
      </c>
    </row>
    <row r="1090" spans="1:5" x14ac:dyDescent="0.25">
      <c r="A1090" s="177" t="s">
        <v>698</v>
      </c>
      <c r="B1090">
        <v>3155.6099999999997</v>
      </c>
      <c r="C1090" t="s">
        <v>8</v>
      </c>
      <c r="D1090" s="172" t="s">
        <v>22</v>
      </c>
      <c r="E1090" s="179">
        <v>45724</v>
      </c>
    </row>
    <row r="1091" spans="1:5" x14ac:dyDescent="0.25">
      <c r="A1091" s="176" t="s">
        <v>699</v>
      </c>
      <c r="B1091">
        <v>2000</v>
      </c>
      <c r="C1091" t="s">
        <v>72</v>
      </c>
      <c r="D1091" s="173" t="s">
        <v>119</v>
      </c>
      <c r="E1091" s="180">
        <v>45726</v>
      </c>
    </row>
    <row r="1092" spans="1:5" x14ac:dyDescent="0.25">
      <c r="A1092" s="177" t="s">
        <v>663</v>
      </c>
      <c r="B1092">
        <v>2500</v>
      </c>
      <c r="C1092" t="s">
        <v>72</v>
      </c>
      <c r="D1092" s="172" t="s">
        <v>739</v>
      </c>
      <c r="E1092" s="179">
        <v>45726</v>
      </c>
    </row>
    <row r="1093" spans="1:5" x14ac:dyDescent="0.25">
      <c r="A1093" s="176" t="s">
        <v>671</v>
      </c>
      <c r="B1093">
        <v>2500</v>
      </c>
      <c r="C1093" t="s">
        <v>72</v>
      </c>
      <c r="D1093" s="173" t="s">
        <v>739</v>
      </c>
      <c r="E1093" s="180">
        <v>45729</v>
      </c>
    </row>
    <row r="1094" spans="1:5" x14ac:dyDescent="0.25">
      <c r="A1094" s="177" t="s">
        <v>700</v>
      </c>
      <c r="B1094">
        <v>0</v>
      </c>
      <c r="C1094" t="s">
        <v>8</v>
      </c>
      <c r="D1094" s="172" t="s">
        <v>14</v>
      </c>
      <c r="E1094" s="179">
        <v>45730</v>
      </c>
    </row>
    <row r="1095" spans="1:5" x14ac:dyDescent="0.25">
      <c r="A1095" s="175" t="s">
        <v>690</v>
      </c>
      <c r="B1095">
        <v>141</v>
      </c>
      <c r="C1095" t="s">
        <v>8</v>
      </c>
      <c r="D1095" s="173" t="s">
        <v>14</v>
      </c>
      <c r="E1095" s="180">
        <v>45735</v>
      </c>
    </row>
    <row r="1096" spans="1:5" x14ac:dyDescent="0.25">
      <c r="A1096" s="172" t="s">
        <v>701</v>
      </c>
      <c r="B1096">
        <v>100</v>
      </c>
      <c r="C1096" t="s">
        <v>8</v>
      </c>
      <c r="D1096" s="172" t="s">
        <v>14</v>
      </c>
      <c r="E1096" s="179">
        <v>45736</v>
      </c>
    </row>
    <row r="1097" spans="1:5" x14ac:dyDescent="0.25">
      <c r="A1097" s="173" t="s">
        <v>702</v>
      </c>
      <c r="B1097">
        <v>248</v>
      </c>
      <c r="C1097" t="s">
        <v>8</v>
      </c>
      <c r="D1097" s="173" t="s">
        <v>14</v>
      </c>
      <c r="E1097" s="180">
        <v>45736</v>
      </c>
    </row>
    <row r="1098" spans="1:5" x14ac:dyDescent="0.25">
      <c r="A1098" s="172" t="s">
        <v>648</v>
      </c>
      <c r="B1098">
        <v>14</v>
      </c>
      <c r="C1098" t="s">
        <v>8</v>
      </c>
      <c r="D1098" s="172" t="s">
        <v>14</v>
      </c>
      <c r="E1098" s="179">
        <v>45737</v>
      </c>
    </row>
    <row r="1099" spans="1:5" x14ac:dyDescent="0.25">
      <c r="A1099" s="173" t="s">
        <v>703</v>
      </c>
      <c r="B1099">
        <v>226</v>
      </c>
      <c r="C1099" t="s">
        <v>8</v>
      </c>
      <c r="D1099" s="173" t="s">
        <v>14</v>
      </c>
      <c r="E1099" s="180">
        <v>45738</v>
      </c>
    </row>
    <row r="1100" spans="1:5" x14ac:dyDescent="0.25">
      <c r="A1100" s="172" t="s">
        <v>686</v>
      </c>
      <c r="B1100">
        <v>36</v>
      </c>
      <c r="C1100" t="s">
        <v>8</v>
      </c>
      <c r="D1100" s="172" t="s">
        <v>14</v>
      </c>
      <c r="E1100" s="179">
        <v>45740</v>
      </c>
    </row>
    <row r="1101" spans="1:5" x14ac:dyDescent="0.25">
      <c r="A1101" s="173" t="s">
        <v>694</v>
      </c>
      <c r="B1101">
        <v>44</v>
      </c>
      <c r="C1101" t="s">
        <v>8</v>
      </c>
      <c r="D1101" s="173" t="s">
        <v>14</v>
      </c>
      <c r="E1101" s="180">
        <v>45742</v>
      </c>
    </row>
    <row r="1102" spans="1:5" x14ac:dyDescent="0.25">
      <c r="A1102" s="174" t="s">
        <v>681</v>
      </c>
      <c r="B1102">
        <v>1000</v>
      </c>
      <c r="C1102" t="s">
        <v>8</v>
      </c>
      <c r="D1102" s="172" t="s">
        <v>119</v>
      </c>
      <c r="E1102" s="179">
        <v>45744</v>
      </c>
    </row>
    <row r="1103" spans="1:5" x14ac:dyDescent="0.25">
      <c r="A1103" s="175" t="s">
        <v>680</v>
      </c>
      <c r="B1103">
        <v>389</v>
      </c>
      <c r="C1103" t="s">
        <v>8</v>
      </c>
      <c r="D1103" s="173" t="s">
        <v>119</v>
      </c>
      <c r="E1103" s="180">
        <v>45744</v>
      </c>
    </row>
    <row r="1104" spans="1:5" x14ac:dyDescent="0.25">
      <c r="A1104" s="174" t="s">
        <v>704</v>
      </c>
      <c r="B1104">
        <v>249.9</v>
      </c>
      <c r="C1104" t="s">
        <v>8</v>
      </c>
      <c r="D1104" s="172" t="s">
        <v>20</v>
      </c>
      <c r="E1104" s="179">
        <v>45744</v>
      </c>
    </row>
    <row r="1105" spans="1:5" x14ac:dyDescent="0.25">
      <c r="A1105" s="175" t="s">
        <v>705</v>
      </c>
      <c r="B1105">
        <v>0</v>
      </c>
      <c r="C1105" t="s">
        <v>8</v>
      </c>
      <c r="D1105" s="173" t="s">
        <v>14</v>
      </c>
      <c r="E1105" s="180">
        <v>45749</v>
      </c>
    </row>
    <row r="1106" spans="1:5" x14ac:dyDescent="0.25">
      <c r="A1106" s="174" t="s">
        <v>613</v>
      </c>
      <c r="B1106">
        <v>12</v>
      </c>
      <c r="C1106" t="s">
        <v>8</v>
      </c>
      <c r="D1106" s="172" t="s">
        <v>14</v>
      </c>
      <c r="E1106" s="179">
        <v>45749</v>
      </c>
    </row>
    <row r="1107" spans="1:5" x14ac:dyDescent="0.25">
      <c r="A1107" s="175" t="s">
        <v>706</v>
      </c>
      <c r="B1107">
        <v>300.49</v>
      </c>
      <c r="C1107" t="s">
        <v>8</v>
      </c>
      <c r="D1107" s="173" t="s">
        <v>11</v>
      </c>
      <c r="E1107" s="180">
        <v>45752</v>
      </c>
    </row>
    <row r="1108" spans="1:5" x14ac:dyDescent="0.25">
      <c r="A1108" s="174" t="s">
        <v>663</v>
      </c>
      <c r="B1108">
        <v>2500</v>
      </c>
      <c r="C1108" t="s">
        <v>72</v>
      </c>
      <c r="D1108" s="172" t="s">
        <v>739</v>
      </c>
      <c r="E1108" s="179">
        <v>45763</v>
      </c>
    </row>
    <row r="1109" spans="1:5" x14ac:dyDescent="0.25">
      <c r="A1109" s="176" t="s">
        <v>707</v>
      </c>
      <c r="B1109">
        <v>377.14</v>
      </c>
      <c r="C1109" t="s">
        <v>8</v>
      </c>
      <c r="D1109" s="173" t="s">
        <v>739</v>
      </c>
      <c r="E1109" s="180">
        <v>45763</v>
      </c>
    </row>
    <row r="1110" spans="1:5" x14ac:dyDescent="0.25">
      <c r="A1110" s="177" t="s">
        <v>708</v>
      </c>
      <c r="B1110">
        <v>0</v>
      </c>
      <c r="C1110" t="s">
        <v>8</v>
      </c>
      <c r="D1110" s="172" t="s">
        <v>739</v>
      </c>
    </row>
    <row r="1111" spans="1:5" x14ac:dyDescent="0.25">
      <c r="A1111" s="176" t="s">
        <v>671</v>
      </c>
      <c r="B1111">
        <v>0</v>
      </c>
      <c r="C1111" t="s">
        <v>8</v>
      </c>
      <c r="D1111" s="173" t="s">
        <v>739</v>
      </c>
    </row>
    <row r="1112" spans="1:5" x14ac:dyDescent="0.25">
      <c r="A1112" s="177" t="s">
        <v>690</v>
      </c>
      <c r="B1112">
        <v>20</v>
      </c>
      <c r="C1112" t="s">
        <v>8</v>
      </c>
      <c r="D1112" s="172" t="s">
        <v>14</v>
      </c>
    </row>
    <row r="1113" spans="1:5" x14ac:dyDescent="0.25">
      <c r="A1113" s="176" t="s">
        <v>709</v>
      </c>
      <c r="B1113">
        <v>0</v>
      </c>
      <c r="C1113" t="s">
        <v>8</v>
      </c>
      <c r="D1113" s="173" t="s">
        <v>14</v>
      </c>
    </row>
    <row r="1114" spans="1:5" x14ac:dyDescent="0.25">
      <c r="A1114" s="177" t="s">
        <v>693</v>
      </c>
      <c r="B1114">
        <v>4590</v>
      </c>
      <c r="C1114" t="s">
        <v>8</v>
      </c>
      <c r="D1114" s="172" t="s">
        <v>739</v>
      </c>
    </row>
    <row r="1115" spans="1:5" x14ac:dyDescent="0.25">
      <c r="A1115" s="176" t="s">
        <v>710</v>
      </c>
      <c r="B1115">
        <v>0</v>
      </c>
      <c r="C1115" t="s">
        <v>8</v>
      </c>
      <c r="D1115" s="173" t="s">
        <v>14</v>
      </c>
    </row>
    <row r="1116" spans="1:5" x14ac:dyDescent="0.25">
      <c r="A1116" s="177" t="s">
        <v>711</v>
      </c>
      <c r="B1116">
        <v>236.8</v>
      </c>
      <c r="C1116" t="s">
        <v>8</v>
      </c>
      <c r="D1116" s="172" t="s">
        <v>739</v>
      </c>
    </row>
    <row r="1117" spans="1:5" x14ac:dyDescent="0.25">
      <c r="A1117" s="176" t="s">
        <v>712</v>
      </c>
      <c r="B1117">
        <v>10313</v>
      </c>
      <c r="C1117" t="s">
        <v>72</v>
      </c>
      <c r="D1117" s="173" t="s">
        <v>73</v>
      </c>
    </row>
    <row r="1118" spans="1:5" x14ac:dyDescent="0.25">
      <c r="A1118" s="174" t="s">
        <v>681</v>
      </c>
      <c r="B1118">
        <v>1000</v>
      </c>
      <c r="C1118" t="s">
        <v>8</v>
      </c>
      <c r="D1118" s="172" t="s">
        <v>119</v>
      </c>
    </row>
    <row r="1119" spans="1:5" x14ac:dyDescent="0.25">
      <c r="A1119" s="175" t="s">
        <v>680</v>
      </c>
      <c r="B1119">
        <v>389</v>
      </c>
      <c r="C1119" t="s">
        <v>8</v>
      </c>
      <c r="D1119" s="173" t="s">
        <v>119</v>
      </c>
    </row>
    <row r="1120" spans="1:5" x14ac:dyDescent="0.25">
      <c r="A1120" s="174" t="s">
        <v>668</v>
      </c>
      <c r="B1120">
        <v>44</v>
      </c>
      <c r="C1120" t="s">
        <v>8</v>
      </c>
      <c r="D1120" s="172" t="s">
        <v>14</v>
      </c>
    </row>
    <row r="1121" spans="1:4" x14ac:dyDescent="0.25">
      <c r="A1121" s="175" t="s">
        <v>713</v>
      </c>
      <c r="B1121">
        <v>1250</v>
      </c>
      <c r="C1121" t="s">
        <v>72</v>
      </c>
      <c r="D1121" s="173" t="s">
        <v>739</v>
      </c>
    </row>
    <row r="1122" spans="1:4" x14ac:dyDescent="0.25">
      <c r="A1122" s="174" t="s">
        <v>613</v>
      </c>
      <c r="B1122">
        <v>12</v>
      </c>
      <c r="C1122" t="s">
        <v>8</v>
      </c>
      <c r="D1122" s="172" t="s">
        <v>14</v>
      </c>
    </row>
    <row r="1123" spans="1:4" x14ac:dyDescent="0.25">
      <c r="A1123" s="175" t="s">
        <v>714</v>
      </c>
      <c r="B1123">
        <v>3000</v>
      </c>
      <c r="C1123" t="s">
        <v>72</v>
      </c>
      <c r="D1123" s="175" t="s">
        <v>119</v>
      </c>
    </row>
    <row r="1124" spans="1:4" x14ac:dyDescent="0.25">
      <c r="A1124" s="174" t="s">
        <v>715</v>
      </c>
      <c r="B1124">
        <v>150</v>
      </c>
      <c r="C1124" t="s">
        <v>72</v>
      </c>
      <c r="D1124" s="174" t="s">
        <v>739</v>
      </c>
    </row>
    <row r="1125" spans="1:4" x14ac:dyDescent="0.25">
      <c r="A1125" s="175" t="s">
        <v>716</v>
      </c>
      <c r="B1125">
        <v>2392.8000000000002</v>
      </c>
      <c r="C1125" t="s">
        <v>8</v>
      </c>
      <c r="D1125" s="173" t="s">
        <v>70</v>
      </c>
    </row>
    <row r="1126" spans="1:4" x14ac:dyDescent="0.25">
      <c r="A1126" s="177" t="s">
        <v>717</v>
      </c>
      <c r="B1126">
        <v>0</v>
      </c>
      <c r="C1126" t="s">
        <v>8</v>
      </c>
      <c r="D1126" s="172" t="s">
        <v>14</v>
      </c>
    </row>
    <row r="1127" spans="1:4" x14ac:dyDescent="0.25">
      <c r="A1127" s="176" t="s">
        <v>718</v>
      </c>
      <c r="B1127">
        <v>700</v>
      </c>
      <c r="C1127" t="s">
        <v>8</v>
      </c>
      <c r="D1127" s="173" t="s">
        <v>119</v>
      </c>
    </row>
    <row r="1128" spans="1:4" x14ac:dyDescent="0.25">
      <c r="A1128" s="177" t="s">
        <v>719</v>
      </c>
      <c r="B1128">
        <v>2330.9299999999998</v>
      </c>
      <c r="C1128" t="s">
        <v>8</v>
      </c>
      <c r="D1128" s="172" t="s">
        <v>115</v>
      </c>
    </row>
    <row r="1129" spans="1:4" x14ac:dyDescent="0.25">
      <c r="A1129" s="176" t="s">
        <v>720</v>
      </c>
      <c r="B1129">
        <v>20</v>
      </c>
      <c r="C1129" t="s">
        <v>8</v>
      </c>
      <c r="D1129" s="173" t="s">
        <v>14</v>
      </c>
    </row>
    <row r="1130" spans="1:4" x14ac:dyDescent="0.25">
      <c r="A1130" s="177" t="s">
        <v>721</v>
      </c>
      <c r="B1130">
        <v>4739.84</v>
      </c>
      <c r="C1130" t="s">
        <v>8</v>
      </c>
      <c r="D1130" s="172" t="s">
        <v>70</v>
      </c>
    </row>
    <row r="1131" spans="1:4" x14ac:dyDescent="0.25">
      <c r="A1131" s="176" t="s">
        <v>722</v>
      </c>
      <c r="B1131">
        <v>808.72</v>
      </c>
      <c r="C1131" t="s">
        <v>8</v>
      </c>
      <c r="D1131" s="173" t="s">
        <v>70</v>
      </c>
    </row>
    <row r="1132" spans="1:4" x14ac:dyDescent="0.25">
      <c r="A1132" s="177" t="s">
        <v>686</v>
      </c>
      <c r="B1132">
        <v>550</v>
      </c>
      <c r="C1132" t="s">
        <v>8</v>
      </c>
      <c r="D1132" s="172" t="s">
        <v>14</v>
      </c>
    </row>
    <row r="1133" spans="1:4" x14ac:dyDescent="0.25">
      <c r="A1133" s="176" t="s">
        <v>627</v>
      </c>
      <c r="B1133">
        <v>130</v>
      </c>
      <c r="C1133" t="s">
        <v>8</v>
      </c>
      <c r="D1133" s="173" t="s">
        <v>22</v>
      </c>
    </row>
    <row r="1134" spans="1:4" x14ac:dyDescent="0.25">
      <c r="A1134" s="177" t="s">
        <v>690</v>
      </c>
      <c r="B1134">
        <v>25</v>
      </c>
      <c r="C1134" t="s">
        <v>8</v>
      </c>
      <c r="D1134" s="172" t="s">
        <v>14</v>
      </c>
    </row>
    <row r="1135" spans="1:4" x14ac:dyDescent="0.25">
      <c r="A1135" s="176" t="s">
        <v>723</v>
      </c>
      <c r="B1135">
        <v>0</v>
      </c>
      <c r="C1135" t="s">
        <v>8</v>
      </c>
      <c r="D1135" s="173" t="s">
        <v>14</v>
      </c>
    </row>
    <row r="1136" spans="1:4" x14ac:dyDescent="0.25">
      <c r="A1136" s="177" t="s">
        <v>666</v>
      </c>
      <c r="B1136">
        <v>0</v>
      </c>
      <c r="C1136" t="s">
        <v>8</v>
      </c>
      <c r="D1136" s="172" t="s">
        <v>14</v>
      </c>
    </row>
    <row r="1137" spans="1:4" x14ac:dyDescent="0.25">
      <c r="A1137" s="176" t="s">
        <v>724</v>
      </c>
      <c r="B1137">
        <v>2679</v>
      </c>
      <c r="C1137" t="s">
        <v>8</v>
      </c>
      <c r="D1137" s="173" t="s">
        <v>11</v>
      </c>
    </row>
    <row r="1138" spans="1:4" x14ac:dyDescent="0.25">
      <c r="A1138" s="177" t="s">
        <v>648</v>
      </c>
      <c r="B1138">
        <v>70</v>
      </c>
      <c r="C1138" t="s">
        <v>8</v>
      </c>
      <c r="D1138" s="172" t="s">
        <v>14</v>
      </c>
    </row>
    <row r="1139" spans="1:4" x14ac:dyDescent="0.25">
      <c r="A1139" s="176" t="s">
        <v>693</v>
      </c>
      <c r="B1139">
        <v>2295</v>
      </c>
      <c r="C1139" t="s">
        <v>8</v>
      </c>
      <c r="D1139" s="173" t="s">
        <v>739</v>
      </c>
    </row>
    <row r="1140" spans="1:4" x14ac:dyDescent="0.25">
      <c r="A1140" s="177" t="s">
        <v>725</v>
      </c>
      <c r="B1140">
        <v>470.9</v>
      </c>
      <c r="C1140" t="s">
        <v>8</v>
      </c>
      <c r="D1140" s="172" t="s">
        <v>739</v>
      </c>
    </row>
    <row r="1141" spans="1:4" x14ac:dyDescent="0.25">
      <c r="A1141" s="176" t="s">
        <v>726</v>
      </c>
      <c r="B1141">
        <v>36638.870000000003</v>
      </c>
      <c r="C1141" t="s">
        <v>72</v>
      </c>
      <c r="D1141" s="173" t="s">
        <v>73</v>
      </c>
    </row>
    <row r="1142" spans="1:4" x14ac:dyDescent="0.25">
      <c r="A1142" s="177" t="s">
        <v>727</v>
      </c>
      <c r="B1142">
        <v>20000</v>
      </c>
      <c r="C1142" t="s">
        <v>8</v>
      </c>
      <c r="D1142" s="172" t="s">
        <v>119</v>
      </c>
    </row>
    <row r="1143" spans="1:4" x14ac:dyDescent="0.25">
      <c r="A1143" s="176" t="s">
        <v>728</v>
      </c>
      <c r="B1143">
        <v>15000</v>
      </c>
      <c r="C1143" t="s">
        <v>72</v>
      </c>
      <c r="D1143" s="173" t="s">
        <v>73</v>
      </c>
    </row>
    <row r="1144" spans="1:4" x14ac:dyDescent="0.25">
      <c r="A1144" s="177" t="s">
        <v>729</v>
      </c>
      <c r="B1144">
        <v>146.80000000000001</v>
      </c>
      <c r="C1144" t="s">
        <v>8</v>
      </c>
      <c r="D1144" s="172" t="s">
        <v>115</v>
      </c>
    </row>
    <row r="1145" spans="1:4" x14ac:dyDescent="0.25">
      <c r="A1145" s="176" t="s">
        <v>613</v>
      </c>
      <c r="B1145">
        <v>60</v>
      </c>
      <c r="C1145" t="s">
        <v>8</v>
      </c>
      <c r="D1145" s="173" t="s">
        <v>14</v>
      </c>
    </row>
    <row r="1146" spans="1:4" x14ac:dyDescent="0.25">
      <c r="A1146" s="177" t="s">
        <v>695</v>
      </c>
      <c r="B1146">
        <v>230</v>
      </c>
      <c r="C1146" t="s">
        <v>8</v>
      </c>
      <c r="D1146" s="172" t="s">
        <v>14</v>
      </c>
    </row>
    <row r="1147" spans="1:4" x14ac:dyDescent="0.25">
      <c r="A1147" s="176" t="s">
        <v>730</v>
      </c>
      <c r="B1147">
        <v>240.64</v>
      </c>
      <c r="C1147" t="s">
        <v>8</v>
      </c>
      <c r="D1147" s="173" t="s">
        <v>739</v>
      </c>
    </row>
    <row r="1148" spans="1:4" x14ac:dyDescent="0.25">
      <c r="A1148" s="177" t="s">
        <v>731</v>
      </c>
      <c r="B1148">
        <v>603.04999999999995</v>
      </c>
      <c r="C1148" t="s">
        <v>8</v>
      </c>
      <c r="D1148" s="172" t="s">
        <v>22</v>
      </c>
    </row>
    <row r="1149" spans="1:4" x14ac:dyDescent="0.25">
      <c r="A1149" s="176" t="s">
        <v>693</v>
      </c>
      <c r="B1149">
        <v>306</v>
      </c>
      <c r="C1149" t="s">
        <v>8</v>
      </c>
      <c r="D1149" s="173" t="s">
        <v>739</v>
      </c>
    </row>
    <row r="1150" spans="1:4" x14ac:dyDescent="0.25">
      <c r="A1150" s="177" t="s">
        <v>693</v>
      </c>
      <c r="B1150">
        <v>459</v>
      </c>
      <c r="C1150" t="s">
        <v>8</v>
      </c>
      <c r="D1150" s="172" t="s">
        <v>739</v>
      </c>
    </row>
    <row r="1151" spans="1:4" x14ac:dyDescent="0.25">
      <c r="A1151" s="176" t="s">
        <v>695</v>
      </c>
      <c r="B1151">
        <v>230</v>
      </c>
      <c r="C1151" t="s">
        <v>8</v>
      </c>
      <c r="D1151" s="173" t="s">
        <v>14</v>
      </c>
    </row>
    <row r="1152" spans="1:4" x14ac:dyDescent="0.25">
      <c r="A1152" s="177" t="s">
        <v>665</v>
      </c>
      <c r="B1152">
        <v>20</v>
      </c>
      <c r="C1152" t="s">
        <v>8</v>
      </c>
      <c r="D1152" s="172" t="s">
        <v>14</v>
      </c>
    </row>
    <row r="1153" spans="1:4" x14ac:dyDescent="0.25">
      <c r="A1153" s="176" t="s">
        <v>732</v>
      </c>
      <c r="B1153">
        <v>362.25</v>
      </c>
      <c r="C1153" t="s">
        <v>8</v>
      </c>
      <c r="D1153" s="173" t="s">
        <v>739</v>
      </c>
    </row>
    <row r="1154" spans="1:4" x14ac:dyDescent="0.25">
      <c r="A1154" s="177" t="s">
        <v>733</v>
      </c>
      <c r="B1154">
        <v>1485.38</v>
      </c>
      <c r="C1154" t="s">
        <v>8</v>
      </c>
      <c r="D1154" s="172" t="s">
        <v>11</v>
      </c>
    </row>
    <row r="1155" spans="1:4" x14ac:dyDescent="0.25">
      <c r="A1155" s="176" t="s">
        <v>725</v>
      </c>
      <c r="B1155">
        <v>518.64</v>
      </c>
      <c r="C1155" t="s">
        <v>8</v>
      </c>
      <c r="D1155" s="173" t="s">
        <v>739</v>
      </c>
    </row>
    <row r="1156" spans="1:4" x14ac:dyDescent="0.25">
      <c r="A1156" s="177" t="s">
        <v>734</v>
      </c>
      <c r="B1156">
        <v>0</v>
      </c>
      <c r="C1156" t="s">
        <v>8</v>
      </c>
      <c r="D1156" s="172" t="s">
        <v>14</v>
      </c>
    </row>
    <row r="1157" spans="1:4" x14ac:dyDescent="0.25">
      <c r="A1157" s="176" t="s">
        <v>728</v>
      </c>
      <c r="B1157">
        <v>3702.9</v>
      </c>
      <c r="C1157" t="s">
        <v>72</v>
      </c>
      <c r="D1157" s="173" t="s">
        <v>73</v>
      </c>
    </row>
    <row r="1158" spans="1:4" x14ac:dyDescent="0.25">
      <c r="A1158" s="177" t="s">
        <v>625</v>
      </c>
      <c r="B1158">
        <v>394.7</v>
      </c>
      <c r="C1158" t="s">
        <v>8</v>
      </c>
      <c r="D1158" s="172" t="s">
        <v>70</v>
      </c>
    </row>
    <row r="1159" spans="1:4" x14ac:dyDescent="0.25">
      <c r="A1159" s="176" t="s">
        <v>695</v>
      </c>
      <c r="B1159">
        <v>0</v>
      </c>
      <c r="C1159" t="s">
        <v>8</v>
      </c>
      <c r="D1159" s="173" t="s">
        <v>14</v>
      </c>
    </row>
    <row r="1160" spans="1:4" x14ac:dyDescent="0.25">
      <c r="A1160" s="177" t="s">
        <v>735</v>
      </c>
      <c r="B1160">
        <v>854</v>
      </c>
      <c r="C1160" t="s">
        <v>8</v>
      </c>
      <c r="D1160" s="172" t="s">
        <v>14</v>
      </c>
    </row>
    <row r="1161" spans="1:4" x14ac:dyDescent="0.25">
      <c r="A1161" s="176" t="s">
        <v>708</v>
      </c>
      <c r="B1161">
        <v>300</v>
      </c>
      <c r="C1161" t="s">
        <v>72</v>
      </c>
      <c r="D1161" s="173" t="s">
        <v>73</v>
      </c>
    </row>
    <row r="1162" spans="1:4" x14ac:dyDescent="0.25">
      <c r="A1162" s="177" t="s">
        <v>736</v>
      </c>
      <c r="B1162">
        <v>0</v>
      </c>
      <c r="C1162" t="s">
        <v>8</v>
      </c>
      <c r="D1162" s="172" t="s">
        <v>14</v>
      </c>
    </row>
    <row r="1163" spans="1:4" x14ac:dyDescent="0.25">
      <c r="A1163" s="176" t="s">
        <v>737</v>
      </c>
      <c r="B1163">
        <v>117.13</v>
      </c>
      <c r="C1163" t="s">
        <v>8</v>
      </c>
      <c r="D1163" s="173" t="s">
        <v>739</v>
      </c>
    </row>
    <row r="1164" spans="1:4" x14ac:dyDescent="0.25">
      <c r="A1164" s="174" t="s">
        <v>737</v>
      </c>
      <c r="B1164">
        <v>117.14</v>
      </c>
      <c r="C1164" t="s">
        <v>8</v>
      </c>
      <c r="D1164" s="172" t="s">
        <v>739</v>
      </c>
    </row>
    <row r="1165" spans="1:4" x14ac:dyDescent="0.25">
      <c r="A1165" s="176" t="s">
        <v>738</v>
      </c>
      <c r="B1165">
        <v>0</v>
      </c>
      <c r="C1165" t="s">
        <v>8</v>
      </c>
      <c r="D1165" s="173" t="s">
        <v>14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8C5E0CA-37AF-4DAB-A130-86EAF2C15E80}">
          <x14:formula1>
            <xm:f>Lists!$B$3:$B$22</xm:f>
          </x14:formula1>
          <xm:sqref>D97:D98 D105 D107:D108 D111:D115 D2:D86</xm:sqref>
        </x14:dataValidation>
        <x14:dataValidation type="list" allowBlank="1" showErrorMessage="1" xr:uid="{DFF849B7-15EE-447F-800E-3389768242F4}">
          <x14:formula1>
            <xm:f>Lists!$C$3:$C$4</xm:f>
          </x14:formula1>
          <xm:sqref>C105 C2:C86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DDCA91-D921-4D4B-BB7E-1E83F75329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Input</vt:lpstr>
      <vt:lpstr>Resumo</vt:lpstr>
      <vt:lpstr>01_2025</vt:lpstr>
      <vt:lpstr>02_2025</vt:lpstr>
      <vt:lpstr>03_2025</vt:lpstr>
      <vt:lpstr>04_2025</vt:lpstr>
      <vt:lpstr>05_2025</vt:lpstr>
      <vt:lpstr>06_2025</vt:lpstr>
      <vt:lpstr>07_2025</vt:lpstr>
      <vt:lpstr>08_2025</vt:lpstr>
      <vt:lpstr>09_2025</vt:lpstr>
      <vt:lpstr>10_2025</vt:lpstr>
      <vt:lpstr>11_2025</vt:lpstr>
      <vt:lpstr>12_2025</vt:lpstr>
      <vt:lpstr>Lists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Ditzel Luiz (VM/ENG21-LA)</dc:creator>
  <cp:lastModifiedBy>Ditzel Luiz (VM/ENG21-LA)</cp:lastModifiedBy>
  <dcterms:created xsi:type="dcterms:W3CDTF">2015-06-05T18:17:20Z</dcterms:created>
  <dcterms:modified xsi:type="dcterms:W3CDTF">2025-08-04T10:41:07Z</dcterms:modified>
</cp:coreProperties>
</file>